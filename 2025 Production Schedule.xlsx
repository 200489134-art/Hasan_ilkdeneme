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pflytestairs.sharepoint.com/sites/TFSShared/Shared Documents/OPERATIONS/"/>
    </mc:Choice>
  </mc:AlternateContent>
  <xr:revisionPtr revIDLastSave="6169" documentId="8_{D91F4E24-7216-4F84-BAD4-A546A2E3136F}" xr6:coauthVersionLast="47" xr6:coauthVersionMax="47" xr10:uidLastSave="{14CA5D9B-0C41-444E-84E4-29FD01F19AC5}"/>
  <bookViews>
    <workbookView xWindow="2670" yWindow="-16320" windowWidth="29040" windowHeight="15720" firstSheet="2" activeTab="9" xr2:uid="{60EC6309-DDAE-481D-9F58-90D149F5302E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Schedule Graph" sheetId="13" r:id="rId13"/>
    <sheet name="Factory Hour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/>
  <c r="L33" i="9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B33" i="12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B33" i="11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B33" i="10"/>
  <c r="D33" i="9"/>
  <c r="E33" i="9"/>
  <c r="F33" i="9"/>
  <c r="G33" i="9"/>
  <c r="H33" i="9"/>
  <c r="I33" i="9"/>
  <c r="J33" i="9"/>
  <c r="K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C33" i="9"/>
  <c r="N189" i="14"/>
  <c r="I189" i="14"/>
  <c r="D189" i="14"/>
  <c r="N188" i="14"/>
  <c r="I188" i="14"/>
  <c r="D188" i="14"/>
  <c r="N187" i="14"/>
  <c r="I187" i="14"/>
  <c r="D187" i="14"/>
  <c r="N186" i="14"/>
  <c r="I186" i="14"/>
  <c r="D186" i="14"/>
  <c r="N185" i="14"/>
  <c r="I185" i="14"/>
  <c r="D185" i="14"/>
  <c r="N184" i="14"/>
  <c r="I184" i="14"/>
  <c r="D184" i="14"/>
  <c r="N183" i="14"/>
  <c r="I183" i="14"/>
  <c r="D183" i="14"/>
  <c r="S174" i="14"/>
  <c r="N174" i="14"/>
  <c r="I174" i="14"/>
  <c r="D174" i="14"/>
  <c r="S173" i="14"/>
  <c r="N173" i="14"/>
  <c r="I173" i="14"/>
  <c r="D173" i="14"/>
  <c r="S172" i="14"/>
  <c r="N172" i="14"/>
  <c r="I172" i="14"/>
  <c r="D172" i="14"/>
  <c r="S171" i="14"/>
  <c r="N171" i="14"/>
  <c r="I171" i="14"/>
  <c r="D171" i="14"/>
  <c r="S170" i="14"/>
  <c r="N170" i="14"/>
  <c r="I170" i="14"/>
  <c r="D170" i="14"/>
  <c r="S169" i="14"/>
  <c r="N169" i="14"/>
  <c r="I169" i="14"/>
  <c r="D169" i="14"/>
  <c r="S168" i="14"/>
  <c r="N168" i="14"/>
  <c r="I168" i="14"/>
  <c r="D168" i="14"/>
  <c r="S159" i="14"/>
  <c r="N159" i="14"/>
  <c r="I159" i="14"/>
  <c r="D159" i="14"/>
  <c r="S158" i="14"/>
  <c r="N158" i="14"/>
  <c r="I158" i="14"/>
  <c r="D158" i="14"/>
  <c r="S157" i="14"/>
  <c r="N157" i="14"/>
  <c r="I157" i="14"/>
  <c r="D157" i="14"/>
  <c r="S156" i="14"/>
  <c r="N156" i="14"/>
  <c r="I156" i="14"/>
  <c r="D156" i="14"/>
  <c r="S155" i="14"/>
  <c r="N155" i="14"/>
  <c r="I155" i="14"/>
  <c r="D155" i="14"/>
  <c r="S154" i="14"/>
  <c r="N154" i="14"/>
  <c r="I154" i="14"/>
  <c r="D154" i="14"/>
  <c r="S153" i="14"/>
  <c r="N153" i="14"/>
  <c r="I153" i="14"/>
  <c r="D153" i="14"/>
  <c r="AB33" i="10"/>
  <c r="AC33" i="10"/>
  <c r="AD33" i="10"/>
  <c r="AE33" i="10"/>
  <c r="AF33" i="10"/>
  <c r="M33" i="8"/>
  <c r="N33" i="8"/>
  <c r="O33" i="8"/>
  <c r="P33" i="8"/>
  <c r="L33" i="8"/>
  <c r="X138" i="14"/>
  <c r="X139" i="14"/>
  <c r="X140" i="14"/>
  <c r="X141" i="14"/>
  <c r="X142" i="14"/>
  <c r="X143" i="14"/>
  <c r="X144" i="14"/>
  <c r="S138" i="14"/>
  <c r="S145" i="14" s="1"/>
  <c r="S147" i="14" s="1"/>
  <c r="S148" i="14" s="1"/>
  <c r="D40" i="13" s="1"/>
  <c r="S139" i="14"/>
  <c r="S140" i="14"/>
  <c r="S141" i="14"/>
  <c r="S142" i="14"/>
  <c r="S143" i="14"/>
  <c r="S144" i="14"/>
  <c r="N138" i="14"/>
  <c r="N139" i="14"/>
  <c r="N140" i="14"/>
  <c r="N141" i="14"/>
  <c r="N142" i="14"/>
  <c r="N143" i="14"/>
  <c r="N144" i="14"/>
  <c r="N145" i="14"/>
  <c r="N147" i="14" s="1"/>
  <c r="N148" i="14" s="1"/>
  <c r="D39" i="13" s="1"/>
  <c r="I138" i="14"/>
  <c r="I145" i="14" s="1"/>
  <c r="I147" i="14" s="1"/>
  <c r="I148" i="14" s="1"/>
  <c r="D38" i="13" s="1"/>
  <c r="I139" i="14"/>
  <c r="I140" i="14"/>
  <c r="I141" i="14"/>
  <c r="I142" i="14"/>
  <c r="I143" i="14"/>
  <c r="I144" i="14"/>
  <c r="B33" i="9"/>
  <c r="D138" i="14"/>
  <c r="D139" i="14"/>
  <c r="D140" i="14"/>
  <c r="D141" i="14"/>
  <c r="D142" i="14"/>
  <c r="D143" i="14"/>
  <c r="D145" i="14" s="1"/>
  <c r="D147" i="14" s="1"/>
  <c r="D148" i="14" s="1"/>
  <c r="D37" i="13" s="1"/>
  <c r="D144" i="14"/>
  <c r="T33" i="8"/>
  <c r="U33" i="8"/>
  <c r="V33" i="8"/>
  <c r="W33" i="8"/>
  <c r="X33" i="8"/>
  <c r="Y33" i="8"/>
  <c r="S33" i="8"/>
  <c r="B4" i="13"/>
  <c r="N175" i="14" l="1"/>
  <c r="N177" i="14" s="1"/>
  <c r="N178" i="14" s="1"/>
  <c r="D48" i="13" s="1"/>
  <c r="I175" i="14"/>
  <c r="I177" i="14" s="1"/>
  <c r="I178" i="14" s="1"/>
  <c r="D47" i="13" s="1"/>
  <c r="D160" i="14"/>
  <c r="D162" i="14" s="1"/>
  <c r="D163" i="14" s="1"/>
  <c r="D42" i="13" s="1"/>
  <c r="X145" i="14"/>
  <c r="X147" i="14" s="1"/>
  <c r="X148" i="14" s="1"/>
  <c r="D41" i="13" s="1"/>
  <c r="D190" i="14"/>
  <c r="D192" i="14" s="1"/>
  <c r="D193" i="14" s="1"/>
  <c r="D50" i="13" s="1"/>
  <c r="I190" i="14"/>
  <c r="I192" i="14" s="1"/>
  <c r="I193" i="14" s="1"/>
  <c r="D51" i="13" s="1"/>
  <c r="N190" i="14"/>
  <c r="N192" i="14" s="1"/>
  <c r="N193" i="14" s="1"/>
  <c r="D52" i="13" s="1"/>
  <c r="S175" i="14"/>
  <c r="S177" i="14" s="1"/>
  <c r="S178" i="14" s="1"/>
  <c r="D49" i="13" s="1"/>
  <c r="D175" i="14"/>
  <c r="D177" i="14" s="1"/>
  <c r="D178" i="14" s="1"/>
  <c r="D46" i="13" s="1"/>
  <c r="N160" i="14"/>
  <c r="N162" i="14" s="1"/>
  <c r="N163" i="14" s="1"/>
  <c r="D44" i="13" s="1"/>
  <c r="I160" i="14"/>
  <c r="I162" i="14" s="1"/>
  <c r="I163" i="14" s="1"/>
  <c r="D43" i="13" s="1"/>
  <c r="S160" i="14"/>
  <c r="S162" i="14" s="1"/>
  <c r="S163" i="14" s="1"/>
  <c r="D45" i="13" s="1"/>
  <c r="Z33" i="8"/>
  <c r="AA33" i="8"/>
  <c r="AB33" i="8"/>
  <c r="AC33" i="8"/>
  <c r="AD33" i="8"/>
  <c r="AE33" i="8"/>
  <c r="AF33" i="8"/>
  <c r="D123" i="14"/>
  <c r="D130" i="14" s="1"/>
  <c r="D132" i="14" s="1"/>
  <c r="D133" i="14" s="1"/>
  <c r="D33" i="13" s="1"/>
  <c r="I123" i="14"/>
  <c r="N123" i="14"/>
  <c r="S123" i="14"/>
  <c r="D124" i="14"/>
  <c r="I124" i="14"/>
  <c r="N124" i="14"/>
  <c r="S124" i="14"/>
  <c r="D125" i="14"/>
  <c r="I125" i="14"/>
  <c r="N125" i="14"/>
  <c r="S125" i="14"/>
  <c r="S130" i="14" s="1"/>
  <c r="S132" i="14" s="1"/>
  <c r="S133" i="14" s="1"/>
  <c r="D36" i="13" s="1"/>
  <c r="D126" i="14"/>
  <c r="I126" i="14"/>
  <c r="N126" i="14"/>
  <c r="S126" i="14"/>
  <c r="D127" i="14"/>
  <c r="I127" i="14"/>
  <c r="N127" i="14"/>
  <c r="S127" i="14"/>
  <c r="D128" i="14"/>
  <c r="I128" i="14"/>
  <c r="N128" i="14"/>
  <c r="S128" i="14"/>
  <c r="D129" i="14"/>
  <c r="I129" i="14"/>
  <c r="N129" i="14"/>
  <c r="S129" i="14"/>
  <c r="B33" i="8"/>
  <c r="D33" i="8"/>
  <c r="E33" i="8"/>
  <c r="F33" i="8"/>
  <c r="G33" i="8"/>
  <c r="H33" i="8"/>
  <c r="I33" i="8"/>
  <c r="J33" i="8"/>
  <c r="K33" i="8"/>
  <c r="Q33" i="8"/>
  <c r="R33" i="8"/>
  <c r="C33" i="8"/>
  <c r="AE33" i="6"/>
  <c r="C33" i="7"/>
  <c r="D33" i="7"/>
  <c r="E33" i="7"/>
  <c r="F33" i="7"/>
  <c r="G33" i="7"/>
  <c r="H33" i="7"/>
  <c r="I33" i="7"/>
  <c r="J33" i="7"/>
  <c r="K33" i="7"/>
  <c r="L33" i="7"/>
  <c r="B33" i="7"/>
  <c r="D31" i="13"/>
  <c r="D30" i="13"/>
  <c r="D27" i="13"/>
  <c r="D26" i="13"/>
  <c r="D25" i="13"/>
  <c r="D24" i="13"/>
  <c r="X114" i="14"/>
  <c r="X113" i="14"/>
  <c r="X112" i="14"/>
  <c r="X111" i="14"/>
  <c r="X115" i="14" s="1"/>
  <c r="X117" i="14" s="1"/>
  <c r="X118" i="14" s="1"/>
  <c r="D32" i="13" s="1"/>
  <c r="X110" i="14"/>
  <c r="X109" i="14"/>
  <c r="X108" i="14"/>
  <c r="R33" i="6"/>
  <c r="S33" i="6"/>
  <c r="T33" i="6"/>
  <c r="U33" i="6"/>
  <c r="Q33" i="6"/>
  <c r="E33" i="6"/>
  <c r="F33" i="6"/>
  <c r="G33" i="6"/>
  <c r="D33" i="6"/>
  <c r="D103" i="14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B33" i="5"/>
  <c r="AC33" i="5"/>
  <c r="AD33" i="5"/>
  <c r="AE33" i="5"/>
  <c r="AF33" i="5"/>
  <c r="AA33" i="5"/>
  <c r="V33" i="6"/>
  <c r="W33" i="6"/>
  <c r="K33" i="6"/>
  <c r="L33" i="6"/>
  <c r="M33" i="6"/>
  <c r="N33" i="6"/>
  <c r="O33" i="6"/>
  <c r="P33" i="6"/>
  <c r="X33" i="6"/>
  <c r="Y33" i="6"/>
  <c r="Z33" i="6"/>
  <c r="AA33" i="6"/>
  <c r="AB33" i="6"/>
  <c r="AC33" i="6"/>
  <c r="AD33" i="6"/>
  <c r="J33" i="6"/>
  <c r="H33" i="6"/>
  <c r="I33" i="6"/>
  <c r="C33" i="6"/>
  <c r="S114" i="14"/>
  <c r="N114" i="14"/>
  <c r="I114" i="14"/>
  <c r="D114" i="14"/>
  <c r="S113" i="14"/>
  <c r="N113" i="14"/>
  <c r="I113" i="14"/>
  <c r="D113" i="14"/>
  <c r="S112" i="14"/>
  <c r="N112" i="14"/>
  <c r="I112" i="14"/>
  <c r="D112" i="14"/>
  <c r="S111" i="14"/>
  <c r="N111" i="14"/>
  <c r="I111" i="14"/>
  <c r="D111" i="14"/>
  <c r="S110" i="14"/>
  <c r="N110" i="14"/>
  <c r="I110" i="14"/>
  <c r="D110" i="14"/>
  <c r="S109" i="14"/>
  <c r="N109" i="14"/>
  <c r="I109" i="14"/>
  <c r="D109" i="14"/>
  <c r="S108" i="14"/>
  <c r="N108" i="14"/>
  <c r="I108" i="14"/>
  <c r="D108" i="14"/>
  <c r="S99" i="14"/>
  <c r="N99" i="14"/>
  <c r="I99" i="14"/>
  <c r="D99" i="14"/>
  <c r="S98" i="14"/>
  <c r="N98" i="14"/>
  <c r="I98" i="14"/>
  <c r="D98" i="14"/>
  <c r="S97" i="14"/>
  <c r="N97" i="14"/>
  <c r="I97" i="14"/>
  <c r="D97" i="14"/>
  <c r="S96" i="14"/>
  <c r="N96" i="14"/>
  <c r="I96" i="14"/>
  <c r="D96" i="14"/>
  <c r="S95" i="14"/>
  <c r="N95" i="14"/>
  <c r="I95" i="14"/>
  <c r="D95" i="14"/>
  <c r="S94" i="14"/>
  <c r="N94" i="14"/>
  <c r="I94" i="14"/>
  <c r="D94" i="14"/>
  <c r="S93" i="14"/>
  <c r="N93" i="14"/>
  <c r="I93" i="14"/>
  <c r="D93" i="14"/>
  <c r="D100" i="14" s="1"/>
  <c r="D102" i="14" s="1"/>
  <c r="W33" i="5"/>
  <c r="X33" i="5"/>
  <c r="V33" i="5"/>
  <c r="U33" i="5"/>
  <c r="Y33" i="5"/>
  <c r="Z33" i="5"/>
  <c r="T33" i="5"/>
  <c r="N33" i="5"/>
  <c r="O33" i="5"/>
  <c r="P33" i="5"/>
  <c r="Q33" i="5"/>
  <c r="M33" i="5"/>
  <c r="G33" i="5"/>
  <c r="H33" i="5"/>
  <c r="I33" i="5"/>
  <c r="J33" i="5"/>
  <c r="F33" i="5"/>
  <c r="R33" i="5"/>
  <c r="S33" i="5"/>
  <c r="K33" i="5"/>
  <c r="L33" i="5"/>
  <c r="C33" i="5"/>
  <c r="B33" i="5"/>
  <c r="AE33" i="4"/>
  <c r="AD33" i="4"/>
  <c r="AC33" i="4"/>
  <c r="Y33" i="4"/>
  <c r="X33" i="4"/>
  <c r="W33" i="4"/>
  <c r="P33" i="4"/>
  <c r="Q33" i="4"/>
  <c r="R33" i="4"/>
  <c r="O33" i="4"/>
  <c r="Z33" i="4"/>
  <c r="V33" i="4"/>
  <c r="S33" i="4"/>
  <c r="J33" i="4"/>
  <c r="C33" i="4"/>
  <c r="D33" i="4"/>
  <c r="E33" i="4"/>
  <c r="F33" i="4"/>
  <c r="G33" i="4"/>
  <c r="H33" i="4"/>
  <c r="I33" i="4"/>
  <c r="K33" i="4"/>
  <c r="L33" i="4"/>
  <c r="M33" i="4"/>
  <c r="N33" i="4"/>
  <c r="T33" i="4"/>
  <c r="U33" i="4"/>
  <c r="AA33" i="4"/>
  <c r="AB33" i="4"/>
  <c r="B33" i="4"/>
  <c r="D23" i="13"/>
  <c r="D16" i="13"/>
  <c r="X84" i="14"/>
  <c r="X83" i="14"/>
  <c r="X82" i="14"/>
  <c r="X81" i="14"/>
  <c r="X80" i="14"/>
  <c r="X79" i="14"/>
  <c r="X78" i="14"/>
  <c r="X85" i="14" s="1"/>
  <c r="X87" i="14" s="1"/>
  <c r="X88" i="14" s="1"/>
  <c r="S84" i="14"/>
  <c r="N84" i="14"/>
  <c r="I84" i="14"/>
  <c r="D84" i="14"/>
  <c r="S83" i="14"/>
  <c r="N83" i="14"/>
  <c r="I83" i="14"/>
  <c r="D83" i="14"/>
  <c r="S82" i="14"/>
  <c r="N82" i="14"/>
  <c r="I82" i="14"/>
  <c r="D82" i="14"/>
  <c r="S81" i="14"/>
  <c r="N81" i="14"/>
  <c r="I81" i="14"/>
  <c r="D81" i="14"/>
  <c r="S80" i="14"/>
  <c r="N80" i="14"/>
  <c r="I80" i="14"/>
  <c r="D80" i="14"/>
  <c r="S79" i="14"/>
  <c r="N79" i="14"/>
  <c r="I79" i="14"/>
  <c r="D79" i="14"/>
  <c r="S78" i="14"/>
  <c r="N78" i="14"/>
  <c r="I78" i="14"/>
  <c r="D78" i="14"/>
  <c r="S69" i="14"/>
  <c r="N69" i="14"/>
  <c r="I69" i="14"/>
  <c r="D69" i="14"/>
  <c r="S68" i="14"/>
  <c r="N68" i="14"/>
  <c r="I68" i="14"/>
  <c r="D68" i="14"/>
  <c r="S67" i="14"/>
  <c r="N67" i="14"/>
  <c r="I67" i="14"/>
  <c r="D67" i="14"/>
  <c r="D70" i="14" s="1"/>
  <c r="S66" i="14"/>
  <c r="N66" i="14"/>
  <c r="I66" i="14"/>
  <c r="D66" i="14"/>
  <c r="S65" i="14"/>
  <c r="N65" i="14"/>
  <c r="I65" i="14"/>
  <c r="D65" i="14"/>
  <c r="S64" i="14"/>
  <c r="N64" i="14"/>
  <c r="I64" i="14"/>
  <c r="D64" i="14"/>
  <c r="S63" i="14"/>
  <c r="N63" i="14"/>
  <c r="I63" i="14"/>
  <c r="D63" i="14"/>
  <c r="D14" i="13"/>
  <c r="D13" i="13"/>
  <c r="S54" i="14"/>
  <c r="S53" i="14"/>
  <c r="S52" i="14"/>
  <c r="S51" i="14"/>
  <c r="S50" i="14"/>
  <c r="S55" i="14" s="1"/>
  <c r="S57" i="14" s="1"/>
  <c r="S58" i="14" s="1"/>
  <c r="S49" i="14"/>
  <c r="S48" i="14"/>
  <c r="N54" i="14"/>
  <c r="N53" i="14"/>
  <c r="N52" i="14"/>
  <c r="N51" i="14"/>
  <c r="N50" i="14"/>
  <c r="N55" i="14" s="1"/>
  <c r="N57" i="14" s="1"/>
  <c r="N58" i="14" s="1"/>
  <c r="N49" i="14"/>
  <c r="N48" i="14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R33" i="3"/>
  <c r="M33" i="3"/>
  <c r="N33" i="3"/>
  <c r="O33" i="3"/>
  <c r="L33" i="3"/>
  <c r="K33" i="3"/>
  <c r="I43" i="14"/>
  <c r="N43" i="14"/>
  <c r="S43" i="14"/>
  <c r="I55" i="14"/>
  <c r="E33" i="3"/>
  <c r="F33" i="3"/>
  <c r="G33" i="3"/>
  <c r="H33" i="3"/>
  <c r="D33" i="3"/>
  <c r="I33" i="3"/>
  <c r="J33" i="3"/>
  <c r="P33" i="3"/>
  <c r="Q33" i="3"/>
  <c r="I53" i="14"/>
  <c r="D40" i="14"/>
  <c r="AC33" i="2"/>
  <c r="AB33" i="2"/>
  <c r="AA33" i="2"/>
  <c r="Z33" i="2"/>
  <c r="Y33" i="2"/>
  <c r="V33" i="2"/>
  <c r="U33" i="2"/>
  <c r="T33" i="2"/>
  <c r="S33" i="2"/>
  <c r="R33" i="2"/>
  <c r="O33" i="2"/>
  <c r="N33" i="2"/>
  <c r="M33" i="2"/>
  <c r="L33" i="2"/>
  <c r="K33" i="2"/>
  <c r="R2" i="2"/>
  <c r="I54" i="14"/>
  <c r="I52" i="14"/>
  <c r="I51" i="14"/>
  <c r="I50" i="14"/>
  <c r="I49" i="14"/>
  <c r="I48" i="14"/>
  <c r="D54" i="14"/>
  <c r="D53" i="14"/>
  <c r="D52" i="14"/>
  <c r="D51" i="14"/>
  <c r="D50" i="14"/>
  <c r="D49" i="14"/>
  <c r="D48" i="14"/>
  <c r="I38" i="14"/>
  <c r="S39" i="14"/>
  <c r="S38" i="14"/>
  <c r="N39" i="14"/>
  <c r="N38" i="14"/>
  <c r="D38" i="14"/>
  <c r="S37" i="14"/>
  <c r="S40" i="14" s="1"/>
  <c r="S36" i="14"/>
  <c r="S35" i="14"/>
  <c r="S34" i="14"/>
  <c r="S33" i="14"/>
  <c r="D33" i="2"/>
  <c r="W33" i="2"/>
  <c r="X33" i="2"/>
  <c r="E33" i="2"/>
  <c r="F33" i="2"/>
  <c r="G33" i="2"/>
  <c r="H33" i="2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N33" i="1"/>
  <c r="N33" i="14"/>
  <c r="N34" i="14"/>
  <c r="N35" i="14"/>
  <c r="N36" i="14"/>
  <c r="N37" i="14"/>
  <c r="N40" i="14" s="1"/>
  <c r="B33" i="13"/>
  <c r="C2" i="1"/>
  <c r="B45" i="13"/>
  <c r="D37" i="14"/>
  <c r="D36" i="14"/>
  <c r="D35" i="14"/>
  <c r="D34" i="14"/>
  <c r="D33" i="14"/>
  <c r="N23" i="14"/>
  <c r="I23" i="14"/>
  <c r="D23" i="14"/>
  <c r="B52" i="13"/>
  <c r="B51" i="13"/>
  <c r="B50" i="13"/>
  <c r="B49" i="13"/>
  <c r="B48" i="13"/>
  <c r="B47" i="13"/>
  <c r="B46" i="13"/>
  <c r="B44" i="13"/>
  <c r="B43" i="13"/>
  <c r="B42" i="13"/>
  <c r="B41" i="13"/>
  <c r="B40" i="13"/>
  <c r="B39" i="13"/>
  <c r="B38" i="13"/>
  <c r="B37" i="13"/>
  <c r="B36" i="13"/>
  <c r="B35" i="13"/>
  <c r="B34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I37" i="14"/>
  <c r="I36" i="14"/>
  <c r="I40" i="14" s="1"/>
  <c r="I35" i="14"/>
  <c r="I34" i="14"/>
  <c r="I33" i="14"/>
  <c r="N22" i="14"/>
  <c r="I22" i="14"/>
  <c r="D22" i="14"/>
  <c r="N21" i="14"/>
  <c r="I21" i="14"/>
  <c r="D21" i="14"/>
  <c r="N20" i="14"/>
  <c r="I20" i="14"/>
  <c r="D20" i="14"/>
  <c r="N19" i="14"/>
  <c r="I19" i="14"/>
  <c r="D19" i="14"/>
  <c r="N18" i="14"/>
  <c r="I18" i="14"/>
  <c r="D18" i="14"/>
  <c r="D8" i="14"/>
  <c r="D7" i="14"/>
  <c r="D6" i="14"/>
  <c r="D5" i="14"/>
  <c r="D4" i="14"/>
  <c r="AC2" i="1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C52" i="13" s="1"/>
  <c r="O2" i="12"/>
  <c r="N2" i="12"/>
  <c r="M2" i="12"/>
  <c r="L2" i="12"/>
  <c r="K2" i="12"/>
  <c r="J2" i="12"/>
  <c r="I2" i="12"/>
  <c r="C51" i="13" s="1"/>
  <c r="H2" i="12"/>
  <c r="G2" i="12"/>
  <c r="F2" i="12"/>
  <c r="E2" i="12"/>
  <c r="D2" i="12"/>
  <c r="C2" i="12"/>
  <c r="B2" i="12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K2" i="9"/>
  <c r="J2" i="9"/>
  <c r="I2" i="9"/>
  <c r="H2" i="9"/>
  <c r="G2" i="9"/>
  <c r="F2" i="9"/>
  <c r="E2" i="9"/>
  <c r="D2" i="9"/>
  <c r="C2" i="9"/>
  <c r="B2" i="9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B33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33" i="5"/>
  <c r="D3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C33" i="3"/>
  <c r="B33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Q33" i="2"/>
  <c r="P33" i="2"/>
  <c r="J33" i="2"/>
  <c r="I33" i="2"/>
  <c r="C33" i="2"/>
  <c r="B33" i="2"/>
  <c r="AC2" i="2"/>
  <c r="AB2" i="2"/>
  <c r="AA2" i="2"/>
  <c r="Z2" i="2"/>
  <c r="Y2" i="2"/>
  <c r="X2" i="2"/>
  <c r="W2" i="2"/>
  <c r="V2" i="2"/>
  <c r="U2" i="2"/>
  <c r="T2" i="2"/>
  <c r="S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D2" i="1"/>
  <c r="AE2" i="1"/>
  <c r="AF2" i="1"/>
  <c r="M33" i="1"/>
  <c r="L33" i="1"/>
  <c r="K33" i="1"/>
  <c r="J33" i="1"/>
  <c r="I33" i="1"/>
  <c r="H33" i="1"/>
  <c r="G33" i="1"/>
  <c r="F33" i="1"/>
  <c r="E33" i="1"/>
  <c r="D33" i="1"/>
  <c r="C33" i="1"/>
  <c r="B33" i="1"/>
  <c r="C43" i="13" l="1"/>
  <c r="C45" i="13"/>
  <c r="C48" i="13"/>
  <c r="C36" i="13"/>
  <c r="N130" i="14"/>
  <c r="N132" i="14" s="1"/>
  <c r="N133" i="14" s="1"/>
  <c r="D35" i="13" s="1"/>
  <c r="I130" i="14"/>
  <c r="I132" i="14" s="1"/>
  <c r="I133" i="14" s="1"/>
  <c r="D34" i="13" s="1"/>
  <c r="I115" i="14"/>
  <c r="I117" i="14" s="1"/>
  <c r="I118" i="14" s="1"/>
  <c r="D29" i="13" s="1"/>
  <c r="C40" i="13"/>
  <c r="C38" i="13"/>
  <c r="C37" i="13"/>
  <c r="C47" i="13"/>
  <c r="I100" i="14"/>
  <c r="I102" i="14" s="1"/>
  <c r="I103" i="14" s="1"/>
  <c r="C29" i="13"/>
  <c r="C23" i="13"/>
  <c r="D115" i="14"/>
  <c r="D117" i="14" s="1"/>
  <c r="D118" i="14" s="1"/>
  <c r="D28" i="13" s="1"/>
  <c r="N115" i="14"/>
  <c r="N117" i="14" s="1"/>
  <c r="N118" i="14" s="1"/>
  <c r="S115" i="14"/>
  <c r="S117" i="14" s="1"/>
  <c r="S118" i="14" s="1"/>
  <c r="S100" i="14"/>
  <c r="S102" i="14" s="1"/>
  <c r="S103" i="14" s="1"/>
  <c r="N100" i="14"/>
  <c r="N102" i="14" s="1"/>
  <c r="N103" i="14" s="1"/>
  <c r="C25" i="13"/>
  <c r="C24" i="13"/>
  <c r="C27" i="13"/>
  <c r="S70" i="14"/>
  <c r="S72" i="14" s="1"/>
  <c r="S73" i="14" s="1"/>
  <c r="D18" i="13" s="1"/>
  <c r="D85" i="14"/>
  <c r="D87" i="14" s="1"/>
  <c r="D88" i="14" s="1"/>
  <c r="D19" i="13" s="1"/>
  <c r="S85" i="14"/>
  <c r="S87" i="14" s="1"/>
  <c r="S88" i="14" s="1"/>
  <c r="D22" i="13" s="1"/>
  <c r="N85" i="14"/>
  <c r="N87" i="14" s="1"/>
  <c r="N88" i="14" s="1"/>
  <c r="D21" i="13" s="1"/>
  <c r="I85" i="14"/>
  <c r="I87" i="14" s="1"/>
  <c r="I88" i="14" s="1"/>
  <c r="D20" i="13" s="1"/>
  <c r="N70" i="14"/>
  <c r="N72" i="14" s="1"/>
  <c r="N73" i="14" s="1"/>
  <c r="D17" i="13" s="1"/>
  <c r="I70" i="14"/>
  <c r="I72" i="14" s="1"/>
  <c r="I73" i="14" s="1"/>
  <c r="D72" i="14"/>
  <c r="D73" i="14" s="1"/>
  <c r="D15" i="13" s="1"/>
  <c r="D55" i="14"/>
  <c r="C16" i="13"/>
  <c r="I57" i="14"/>
  <c r="I58" i="14" s="1"/>
  <c r="D12" i="13" s="1"/>
  <c r="S42" i="14"/>
  <c r="D10" i="13" s="1"/>
  <c r="E10" i="13" s="1"/>
  <c r="C15" i="13"/>
  <c r="N42" i="14"/>
  <c r="D9" i="13" s="1"/>
  <c r="E9" i="13" s="1"/>
  <c r="D57" i="14"/>
  <c r="D58" i="14" s="1"/>
  <c r="D11" i="13" s="1"/>
  <c r="D10" i="14"/>
  <c r="D12" i="14" s="1"/>
  <c r="D13" i="14" s="1"/>
  <c r="E49" i="13" s="1"/>
  <c r="E35" i="13"/>
  <c r="E34" i="13"/>
  <c r="E33" i="13"/>
  <c r="D42" i="14"/>
  <c r="D43" i="14" s="1"/>
  <c r="D7" i="13" s="1"/>
  <c r="E7" i="13" s="1"/>
  <c r="N25" i="14"/>
  <c r="N27" i="14" s="1"/>
  <c r="N28" i="14" s="1"/>
  <c r="D6" i="13" s="1"/>
  <c r="E6" i="13" s="1"/>
  <c r="C14" i="13"/>
  <c r="C50" i="13"/>
  <c r="C46" i="13"/>
  <c r="C49" i="13"/>
  <c r="C44" i="13"/>
  <c r="C42" i="13"/>
  <c r="C41" i="13"/>
  <c r="C39" i="13"/>
  <c r="C35" i="13"/>
  <c r="C34" i="13"/>
  <c r="C33" i="13"/>
  <c r="C31" i="13"/>
  <c r="C32" i="13"/>
  <c r="C30" i="13"/>
  <c r="C26" i="13"/>
  <c r="C20" i="13"/>
  <c r="C21" i="13"/>
  <c r="C17" i="13"/>
  <c r="C18" i="13"/>
  <c r="C12" i="13"/>
  <c r="C13" i="13"/>
  <c r="C9" i="13"/>
  <c r="C10" i="13"/>
  <c r="C28" i="13"/>
  <c r="C19" i="13"/>
  <c r="I42" i="14"/>
  <c r="D8" i="13" s="1"/>
  <c r="E8" i="13" s="1"/>
  <c r="D25" i="14"/>
  <c r="D27" i="14" s="1"/>
  <c r="D28" i="14" s="1"/>
  <c r="D4" i="13" s="1"/>
  <c r="E4" i="13" s="1"/>
  <c r="F4" i="13" s="1"/>
  <c r="I25" i="14"/>
  <c r="I27" i="14" s="1"/>
  <c r="I28" i="14" s="1"/>
  <c r="D5" i="13" s="1"/>
  <c r="E5" i="13" s="1"/>
  <c r="F35" i="13" l="1"/>
  <c r="F49" i="13"/>
  <c r="F33" i="13"/>
  <c r="F34" i="13"/>
  <c r="E22" i="13"/>
  <c r="F22" i="13" s="1"/>
  <c r="E23" i="13"/>
  <c r="F23" i="13" s="1"/>
  <c r="E43" i="13"/>
  <c r="F43" i="13" s="1"/>
  <c r="E52" i="13"/>
  <c r="F52" i="13" s="1"/>
  <c r="E27" i="13"/>
  <c r="F27" i="13" s="1"/>
  <c r="E42" i="13"/>
  <c r="F42" i="13" s="1"/>
  <c r="E45" i="13"/>
  <c r="F45" i="13" s="1"/>
  <c r="E30" i="13"/>
  <c r="F30" i="13" s="1"/>
  <c r="E31" i="13"/>
  <c r="F31" i="13" s="1"/>
  <c r="E32" i="13"/>
  <c r="F32" i="13" s="1"/>
  <c r="E28" i="13"/>
  <c r="F28" i="13" s="1"/>
  <c r="E29" i="13"/>
  <c r="F29" i="13" s="1"/>
  <c r="E36" i="13"/>
  <c r="F36" i="13" s="1"/>
  <c r="F10" i="13"/>
  <c r="E37" i="13"/>
  <c r="F37" i="13" s="1"/>
  <c r="E13" i="13"/>
  <c r="E48" i="13"/>
  <c r="F48" i="13" s="1"/>
  <c r="E14" i="13"/>
  <c r="E19" i="13"/>
  <c r="F19" i="13" s="1"/>
  <c r="E24" i="13"/>
  <c r="F24" i="13" s="1"/>
  <c r="E25" i="13"/>
  <c r="F25" i="13" s="1"/>
  <c r="E26" i="13"/>
  <c r="F26" i="13" s="1"/>
  <c r="E38" i="13"/>
  <c r="F38" i="13" s="1"/>
  <c r="E39" i="13"/>
  <c r="F39" i="13" s="1"/>
  <c r="E46" i="13"/>
  <c r="F46" i="13" s="1"/>
  <c r="E12" i="13"/>
  <c r="F12" i="13" s="1"/>
  <c r="E40" i="13"/>
  <c r="F40" i="13" s="1"/>
  <c r="E47" i="13"/>
  <c r="F47" i="13" s="1"/>
  <c r="E50" i="13"/>
  <c r="F50" i="13" s="1"/>
  <c r="E51" i="13"/>
  <c r="F51" i="13" s="1"/>
  <c r="E11" i="13"/>
  <c r="F11" i="13" s="1"/>
  <c r="E15" i="13"/>
  <c r="F15" i="13" s="1"/>
  <c r="E16" i="13"/>
  <c r="F16" i="13" s="1"/>
  <c r="E17" i="13"/>
  <c r="F17" i="13" s="1"/>
  <c r="E18" i="13"/>
  <c r="F18" i="13" s="1"/>
  <c r="E41" i="13"/>
  <c r="F41" i="13" s="1"/>
  <c r="E20" i="13"/>
  <c r="F20" i="13" s="1"/>
  <c r="E21" i="13"/>
  <c r="F21" i="13" s="1"/>
  <c r="E44" i="13"/>
  <c r="F44" i="13" s="1"/>
  <c r="F9" i="13"/>
  <c r="F13" i="13"/>
  <c r="F14" i="13"/>
  <c r="F5" i="13"/>
  <c r="F8" i="13"/>
  <c r="F7" i="13"/>
  <c r="F6" i="13"/>
</calcChain>
</file>

<file path=xl/sharedStrings.xml><?xml version="1.0" encoding="utf-8"?>
<sst xmlns="http://schemas.openxmlformats.org/spreadsheetml/2006/main" count="2132" uniqueCount="942">
  <si>
    <t>Total Hrs Booked</t>
  </si>
  <si>
    <t>Job No#</t>
  </si>
  <si>
    <t>Kitsets</t>
  </si>
  <si>
    <t>S-9663</t>
  </si>
  <si>
    <t>S-9893</t>
  </si>
  <si>
    <t>S-9460</t>
  </si>
  <si>
    <t>S-9806</t>
  </si>
  <si>
    <t>S-9966</t>
  </si>
  <si>
    <t>10033 bk</t>
  </si>
  <si>
    <t>S-9451</t>
  </si>
  <si>
    <t>10069 bk</t>
  </si>
  <si>
    <t>S-9531</t>
  </si>
  <si>
    <t>Catch up</t>
  </si>
  <si>
    <t>Time Allowed</t>
  </si>
  <si>
    <t>Kitset Pck</t>
  </si>
  <si>
    <t>S-9748</t>
  </si>
  <si>
    <t>9748 bkd</t>
  </si>
  <si>
    <t>S-9759</t>
  </si>
  <si>
    <t>S-9987</t>
  </si>
  <si>
    <t>S-9807</t>
  </si>
  <si>
    <t>S-9967</t>
  </si>
  <si>
    <t>S-10052</t>
  </si>
  <si>
    <t>S-9466</t>
  </si>
  <si>
    <t>S-9544</t>
  </si>
  <si>
    <t>S-9647</t>
  </si>
  <si>
    <t>S-8691</t>
  </si>
  <si>
    <t>S-9463</t>
  </si>
  <si>
    <t>S-9996</t>
  </si>
  <si>
    <t>S-9808</t>
  </si>
  <si>
    <t>S-9220</t>
  </si>
  <si>
    <t>S-10063</t>
  </si>
  <si>
    <t>S-10072</t>
  </si>
  <si>
    <t>S-9628</t>
  </si>
  <si>
    <t>S-9957</t>
  </si>
  <si>
    <t>S-9464</t>
  </si>
  <si>
    <t>S-9959</t>
  </si>
  <si>
    <t>S-10065</t>
  </si>
  <si>
    <t>S-10082</t>
  </si>
  <si>
    <t>S-9234</t>
  </si>
  <si>
    <t>S-9958</t>
  </si>
  <si>
    <t>S-9462</t>
  </si>
  <si>
    <t>S-10033</t>
  </si>
  <si>
    <t>S-8710</t>
  </si>
  <si>
    <t>S-9591</t>
  </si>
  <si>
    <t>S-9851</t>
  </si>
  <si>
    <t>S-9974</t>
  </si>
  <si>
    <t>S-9472</t>
  </si>
  <si>
    <t>S-10069</t>
  </si>
  <si>
    <t>S-9934</t>
  </si>
  <si>
    <t>S-9819</t>
  </si>
  <si>
    <t>S-9471</t>
  </si>
  <si>
    <t>S-9946</t>
  </si>
  <si>
    <t>S-9982</t>
  </si>
  <si>
    <t>S-9473</t>
  </si>
  <si>
    <t>S-9947</t>
  </si>
  <si>
    <t>S-9995</t>
  </si>
  <si>
    <t>S-9459</t>
  </si>
  <si>
    <t>S-10073</t>
  </si>
  <si>
    <t>S-9980</t>
  </si>
  <si>
    <t>Spare Hours</t>
  </si>
  <si>
    <t>AKL</t>
  </si>
  <si>
    <t>Anniver</t>
  </si>
  <si>
    <t>S-9664</t>
  </si>
  <si>
    <t>S-9816</t>
  </si>
  <si>
    <t>S-9882</t>
  </si>
  <si>
    <t>S-9812</t>
  </si>
  <si>
    <t>S-9665</t>
  </si>
  <si>
    <t>10084 bkd</t>
  </si>
  <si>
    <t>9061 bkd</t>
  </si>
  <si>
    <t>S-10088</t>
  </si>
  <si>
    <t>8470 bkd</t>
  </si>
  <si>
    <t>S-9885</t>
  </si>
  <si>
    <t>S-10092</t>
  </si>
  <si>
    <t>S-9749</t>
  </si>
  <si>
    <t>S-10184</t>
  </si>
  <si>
    <t>10215 bkd</t>
  </si>
  <si>
    <t>S-9436</t>
  </si>
  <si>
    <t>S-9814</t>
  </si>
  <si>
    <t>S-9815</t>
  </si>
  <si>
    <t>S-9857</t>
  </si>
  <si>
    <t>S-9817</t>
  </si>
  <si>
    <t>S-9884</t>
  </si>
  <si>
    <t>S-9858</t>
  </si>
  <si>
    <t>S-9528</t>
  </si>
  <si>
    <t>S-9438</t>
  </si>
  <si>
    <t>S-9050</t>
  </si>
  <si>
    <t>S-9997</t>
  </si>
  <si>
    <t>S-9939</t>
  </si>
  <si>
    <t>S-10162</t>
  </si>
  <si>
    <t>10201 bkd</t>
  </si>
  <si>
    <t>S-10216</t>
  </si>
  <si>
    <t>S-10214</t>
  </si>
  <si>
    <t>S-10101</t>
  </si>
  <si>
    <t>S-9917</t>
  </si>
  <si>
    <t>S-9820</t>
  </si>
  <si>
    <t>9857 bkd</t>
  </si>
  <si>
    <t>S-9899</t>
  </si>
  <si>
    <t>S-9061</t>
  </si>
  <si>
    <t>S-9898</t>
  </si>
  <si>
    <t>S-10283</t>
  </si>
  <si>
    <t>S-9983</t>
  </si>
  <si>
    <t>S-10093</t>
  </si>
  <si>
    <t>S-10187</t>
  </si>
  <si>
    <t>S-10215</t>
  </si>
  <si>
    <t>S-10192</t>
  </si>
  <si>
    <t>S-10217</t>
  </si>
  <si>
    <t>S-10079</t>
  </si>
  <si>
    <t>10119 bk</t>
  </si>
  <si>
    <t>S-10043</t>
  </si>
  <si>
    <t>S-10146</t>
  </si>
  <si>
    <t>S-8470</t>
  </si>
  <si>
    <t>S-9984</t>
  </si>
  <si>
    <t>S-9998</t>
  </si>
  <si>
    <t>S-9518</t>
  </si>
  <si>
    <t>S-9487</t>
  </si>
  <si>
    <t>S-9993</t>
  </si>
  <si>
    <t>S-10190</t>
  </si>
  <si>
    <t>S-10136</t>
  </si>
  <si>
    <t>S-10145</t>
  </si>
  <si>
    <t>S-9985</t>
  </si>
  <si>
    <t>S-10149</t>
  </si>
  <si>
    <t>S-9488</t>
  </si>
  <si>
    <t>S-8876</t>
  </si>
  <si>
    <t>S-10137</t>
  </si>
  <si>
    <t>S-10159</t>
  </si>
  <si>
    <t>S-10075</t>
  </si>
  <si>
    <t>9998 bkd</t>
  </si>
  <si>
    <t>S-10237</t>
  </si>
  <si>
    <t>S-10119</t>
  </si>
  <si>
    <t>S-10181</t>
  </si>
  <si>
    <t>S-10090</t>
  </si>
  <si>
    <t>S-10223</t>
  </si>
  <si>
    <t>S-10160</t>
  </si>
  <si>
    <t>S-10174</t>
  </si>
  <si>
    <t>S-10201</t>
  </si>
  <si>
    <t>S-10110</t>
  </si>
  <si>
    <t>S-10084</t>
  </si>
  <si>
    <t>S-10161</t>
  </si>
  <si>
    <t>Waitangi</t>
  </si>
  <si>
    <t>S-9311</t>
  </si>
  <si>
    <t>S-10117</t>
  </si>
  <si>
    <t>9703 bkd</t>
  </si>
  <si>
    <t>S-9227</t>
  </si>
  <si>
    <t>S-9434</t>
  </si>
  <si>
    <t>S-9906</t>
  </si>
  <si>
    <t>S-9430</t>
  </si>
  <si>
    <t>9702 kd</t>
  </si>
  <si>
    <t>S-10318</t>
  </si>
  <si>
    <t>S-9994</t>
  </si>
  <si>
    <t>S-10175</t>
  </si>
  <si>
    <t>S-9527</t>
  </si>
  <si>
    <t>S-10086</t>
  </si>
  <si>
    <t>S-10173</t>
  </si>
  <si>
    <t>S-10532</t>
  </si>
  <si>
    <t>S-9891</t>
  </si>
  <si>
    <t>10217 bkd</t>
  </si>
  <si>
    <t>S-10153</t>
  </si>
  <si>
    <t>S-10222</t>
  </si>
  <si>
    <t>S-10249</t>
  </si>
  <si>
    <t>S-9432</t>
  </si>
  <si>
    <t>S-10322</t>
  </si>
  <si>
    <t>S-9940</t>
  </si>
  <si>
    <t>S-9705</t>
  </si>
  <si>
    <t>10422 bkd</t>
  </si>
  <si>
    <t>S-10303</t>
  </si>
  <si>
    <t>10460 bkd</t>
  </si>
  <si>
    <t>S-10507</t>
  </si>
  <si>
    <t>S-10529</t>
  </si>
  <si>
    <t>S-10533</t>
  </si>
  <si>
    <t>S-10506</t>
  </si>
  <si>
    <t>S-10087</t>
  </si>
  <si>
    <t>S-9704</t>
  </si>
  <si>
    <t>S-10154</t>
  </si>
  <si>
    <t>S-10196</t>
  </si>
  <si>
    <t>10250 bkd</t>
  </si>
  <si>
    <t>S-10232</t>
  </si>
  <si>
    <t>S-10272</t>
  </si>
  <si>
    <t>S-10273</t>
  </si>
  <si>
    <t>S-9701</t>
  </si>
  <si>
    <t>S-9990</t>
  </si>
  <si>
    <t>S-10409</t>
  </si>
  <si>
    <t>S-10304</t>
  </si>
  <si>
    <t>S-10213</t>
  </si>
  <si>
    <t>S-9529</t>
  </si>
  <si>
    <t>S-10512</t>
  </si>
  <si>
    <t>S-10459</t>
  </si>
  <si>
    <t>S-10417</t>
  </si>
  <si>
    <t>S-10536</t>
  </si>
  <si>
    <t>S-10553</t>
  </si>
  <si>
    <t>S-10542</t>
  </si>
  <si>
    <t>S-9703</t>
  </si>
  <si>
    <t>S-9592</t>
  </si>
  <si>
    <t>S-10253</t>
  </si>
  <si>
    <t>S-7133</t>
  </si>
  <si>
    <t>S-10229</t>
  </si>
  <si>
    <t>S-9991</t>
  </si>
  <si>
    <t>S-9702</t>
  </si>
  <si>
    <t>S-9941</t>
  </si>
  <si>
    <t>S-10463</t>
  </si>
  <si>
    <t>S-10408</t>
  </si>
  <si>
    <t>10441 bkd</t>
  </si>
  <si>
    <t>S-10461</t>
  </si>
  <si>
    <t>S-9530</t>
  </si>
  <si>
    <t>S-10539</t>
  </si>
  <si>
    <t>S-10419</t>
  </si>
  <si>
    <t>S-10552</t>
  </si>
  <si>
    <t>S-10554</t>
  </si>
  <si>
    <t>S-10560</t>
  </si>
  <si>
    <t>S-9593</t>
  </si>
  <si>
    <t>S-10194</t>
  </si>
  <si>
    <t>S-7134</t>
  </si>
  <si>
    <t>10232 bkd</t>
  </si>
  <si>
    <t>S-10325</t>
  </si>
  <si>
    <t>S-10363</t>
  </si>
  <si>
    <t>S-10368</t>
  </si>
  <si>
    <t>S-10424</t>
  </si>
  <si>
    <t>S-10444</t>
  </si>
  <si>
    <t>S-10475</t>
  </si>
  <si>
    <t>S-10418</t>
  </si>
  <si>
    <t>9994 bkd</t>
  </si>
  <si>
    <t>S-10572</t>
  </si>
  <si>
    <t>S-9594</t>
  </si>
  <si>
    <t>S-10235</t>
  </si>
  <si>
    <t>S-10234</t>
  </si>
  <si>
    <t>S-10317</t>
  </si>
  <si>
    <t>S-10359</t>
  </si>
  <si>
    <t>S-10374</t>
  </si>
  <si>
    <t>S-9113</t>
  </si>
  <si>
    <t>S-10323</t>
  </si>
  <si>
    <t>S-10505</t>
  </si>
  <si>
    <t>S-10472</t>
  </si>
  <si>
    <t>10533 bkd</t>
  </si>
  <si>
    <t>S-10573</t>
  </si>
  <si>
    <t>S-9595</t>
  </si>
  <si>
    <t>S-10285</t>
  </si>
  <si>
    <t>S-10271</t>
  </si>
  <si>
    <t>S-10369</t>
  </si>
  <si>
    <t>S-10395</t>
  </si>
  <si>
    <t>S-10441</t>
  </si>
  <si>
    <t>S-10460</t>
  </si>
  <si>
    <t>S-10250</t>
  </si>
  <si>
    <t>S-10244</t>
  </si>
  <si>
    <t>S-10422</t>
  </si>
  <si>
    <t>Hours set with Christoff Included</t>
  </si>
  <si>
    <t>S-10581</t>
  </si>
  <si>
    <t>S-10172</t>
  </si>
  <si>
    <t>S-9730</t>
  </si>
  <si>
    <t>S-10220</t>
  </si>
  <si>
    <t>S-10595</t>
  </si>
  <si>
    <t>S-10276</t>
  </si>
  <si>
    <t>10716 bkd</t>
  </si>
  <si>
    <t>S-10717</t>
  </si>
  <si>
    <t>S-10647</t>
  </si>
  <si>
    <t>S-10773</t>
  </si>
  <si>
    <t>10765 Bkd</t>
  </si>
  <si>
    <t>S-10564</t>
  </si>
  <si>
    <t xml:space="preserve">S-10523 </t>
  </si>
  <si>
    <t>S-9992</t>
  </si>
  <si>
    <t>10593 bkd</t>
  </si>
  <si>
    <t>S-10357</t>
  </si>
  <si>
    <t>S-10499</t>
  </si>
  <si>
    <t>S-10711</t>
  </si>
  <si>
    <t>S-9590</t>
  </si>
  <si>
    <t>S-10761</t>
  </si>
  <si>
    <t>S-10741</t>
  </si>
  <si>
    <t>S-10763</t>
  </si>
  <si>
    <t>S-9709</t>
  </si>
  <si>
    <t>S-10562</t>
  </si>
  <si>
    <t>S-9999</t>
  </si>
  <si>
    <t>S-10591</t>
  </si>
  <si>
    <t>S-10584</t>
  </si>
  <si>
    <t>S-9986</t>
  </si>
  <si>
    <t>S-10710</t>
  </si>
  <si>
    <t>S-10725</t>
  </si>
  <si>
    <t>S-10728</t>
  </si>
  <si>
    <t>S-10625</t>
  </si>
  <si>
    <t>S-10765</t>
  </si>
  <si>
    <t>S-10649</t>
  </si>
  <si>
    <t>Q-10884</t>
  </si>
  <si>
    <t>10573 bkd</t>
  </si>
  <si>
    <t>S-9921</t>
  </si>
  <si>
    <t>S-10593</t>
  </si>
  <si>
    <t>S-10619</t>
  </si>
  <si>
    <t>S-10645</t>
  </si>
  <si>
    <t>S10626</t>
  </si>
  <si>
    <t>10165 bkd</t>
  </si>
  <si>
    <t>S-10777</t>
  </si>
  <si>
    <t>S-10583</t>
  </si>
  <si>
    <t>S-10586</t>
  </si>
  <si>
    <t>S-10497</t>
  </si>
  <si>
    <t>S-10631</t>
  </si>
  <si>
    <t>S-10716</t>
  </si>
  <si>
    <t>S-10627</t>
  </si>
  <si>
    <t>S-9588</t>
  </si>
  <si>
    <t>S-10779</t>
  </si>
  <si>
    <t>S-10594</t>
  </si>
  <si>
    <t>S-10498</t>
  </si>
  <si>
    <t>S-10628</t>
  </si>
  <si>
    <t>S-10527</t>
  </si>
  <si>
    <t>S-10629</t>
  </si>
  <si>
    <t>S-10790</t>
  </si>
  <si>
    <t>S-10165</t>
  </si>
  <si>
    <t>S-10797</t>
  </si>
  <si>
    <t>Good</t>
  </si>
  <si>
    <t>Easter</t>
  </si>
  <si>
    <t>Anzac Day</t>
  </si>
  <si>
    <t>Friday</t>
  </si>
  <si>
    <t>Monday</t>
  </si>
  <si>
    <t>Hours without Christoff</t>
  </si>
  <si>
    <t>S-10358</t>
  </si>
  <si>
    <t>10577 bkd</t>
  </si>
  <si>
    <t>S-10578</t>
  </si>
  <si>
    <t>S-10301</t>
  </si>
  <si>
    <t>S-10824</t>
  </si>
  <si>
    <t>10278 bkd</t>
  </si>
  <si>
    <t>10281 bkd</t>
  </si>
  <si>
    <t>S-10367</t>
  </si>
  <si>
    <t>S-10053</t>
  </si>
  <si>
    <t>S-10588</t>
  </si>
  <si>
    <t>S-10382</t>
  </si>
  <si>
    <t>10376 bkd</t>
  </si>
  <si>
    <t>S-10344</t>
  </si>
  <si>
    <t>S-10474</t>
  </si>
  <si>
    <t>S-10345</t>
  </si>
  <si>
    <t>Move Timber</t>
  </si>
  <si>
    <t>S-10579</t>
  </si>
  <si>
    <t>S-10302</t>
  </si>
  <si>
    <t>S-10064</t>
  </si>
  <si>
    <t>S-10279</t>
  </si>
  <si>
    <t>S-10850</t>
  </si>
  <si>
    <t>S-10838</t>
  </si>
  <si>
    <t>S-10886</t>
  </si>
  <si>
    <t>10924 bkd</t>
  </si>
  <si>
    <t>S-10873</t>
  </si>
  <si>
    <t>10375 bkd</t>
  </si>
  <si>
    <t>S-10799</t>
  </si>
  <si>
    <t>JSB Job</t>
  </si>
  <si>
    <t>10579 bkd</t>
  </si>
  <si>
    <t>S-10278</t>
  </si>
  <si>
    <t>S-10280</t>
  </si>
  <si>
    <t>10280 bkd</t>
  </si>
  <si>
    <t>S-10859</t>
  </si>
  <si>
    <t>S-10865</t>
  </si>
  <si>
    <t>S-10858</t>
  </si>
  <si>
    <t>S-1091</t>
  </si>
  <si>
    <t>S-10362</t>
  </si>
  <si>
    <t>S-10911</t>
  </si>
  <si>
    <t>S-10376</t>
  </si>
  <si>
    <t>S-10933</t>
  </si>
  <si>
    <t>S-10577</t>
  </si>
  <si>
    <t>S-10831</t>
  </si>
  <si>
    <t>S-10880</t>
  </si>
  <si>
    <t>S-10281</t>
  </si>
  <si>
    <t>S-10862</t>
  </si>
  <si>
    <t>S-10839</t>
  </si>
  <si>
    <t>10862 bkd</t>
  </si>
  <si>
    <t>10910 bkd</t>
  </si>
  <si>
    <t>S-10375</t>
  </si>
  <si>
    <t>S-10932</t>
  </si>
  <si>
    <t>S-10868</t>
  </si>
  <si>
    <t>S-10866</t>
  </si>
  <si>
    <t>S-10898</t>
  </si>
  <si>
    <t>S-10934</t>
  </si>
  <si>
    <t>hrs bkd</t>
  </si>
  <si>
    <t>S-10924</t>
  </si>
  <si>
    <t>S-10943</t>
  </si>
  <si>
    <t>S-10937</t>
  </si>
  <si>
    <t>S-10955</t>
  </si>
  <si>
    <t>S-10956</t>
  </si>
  <si>
    <t>S-10968</t>
  </si>
  <si>
    <t>S-10965</t>
  </si>
  <si>
    <t>7am-5pm (Neil work 5 days)</t>
  </si>
  <si>
    <t>7am-5pm (Neil work 4 days)</t>
  </si>
  <si>
    <t>10782 bkd</t>
  </si>
  <si>
    <t>10783 bkd</t>
  </si>
  <si>
    <t>10784 bkd</t>
  </si>
  <si>
    <t>S-10953</t>
  </si>
  <si>
    <t>S-10386</t>
  </si>
  <si>
    <t>S-11046</t>
  </si>
  <si>
    <t>S-10650</t>
  </si>
  <si>
    <t>S-10648</t>
  </si>
  <si>
    <t>S-10750</t>
  </si>
  <si>
    <t>S-10749</t>
  </si>
  <si>
    <t>10753 bkd</t>
  </si>
  <si>
    <t>S-11047</t>
  </si>
  <si>
    <t>S-10982</t>
  </si>
  <si>
    <t>S-11136</t>
  </si>
  <si>
    <t>S-10783</t>
  </si>
  <si>
    <t>S-10784</t>
  </si>
  <si>
    <t>S-10958</t>
  </si>
  <si>
    <t>S-10971</t>
  </si>
  <si>
    <t>S-10393</t>
  </si>
  <si>
    <t>S-11045</t>
  </si>
  <si>
    <t>10917 bkd</t>
  </si>
  <si>
    <t>11037 bkd</t>
  </si>
  <si>
    <t>S-11124</t>
  </si>
  <si>
    <t>S-11029</t>
  </si>
  <si>
    <t>S-10531</t>
  </si>
  <si>
    <t>S-11072</t>
  </si>
  <si>
    <t>S-10975</t>
  </si>
  <si>
    <t>11036 re-do</t>
  </si>
  <si>
    <t>S-10992</t>
  </si>
  <si>
    <t>9500 bkd</t>
  </si>
  <si>
    <t>S-10988</t>
  </si>
  <si>
    <t>S-10114</t>
  </si>
  <si>
    <t>S-11050</t>
  </si>
  <si>
    <t>S-10918</t>
  </si>
  <si>
    <t>S-11037</t>
  </si>
  <si>
    <t>S-11062</t>
  </si>
  <si>
    <t>S-10753</t>
  </si>
  <si>
    <t>11062 bkd</t>
  </si>
  <si>
    <t>S-11122</t>
  </si>
  <si>
    <t>S-11138</t>
  </si>
  <si>
    <t>S-10236</t>
  </si>
  <si>
    <t>10933 bkd</t>
  </si>
  <si>
    <t>S-9500</t>
  </si>
  <si>
    <t>S-9674</t>
  </si>
  <si>
    <t>S-11010</t>
  </si>
  <si>
    <t>S-10500</t>
  </si>
  <si>
    <t>S-10748</t>
  </si>
  <si>
    <t>S-11100</t>
  </si>
  <si>
    <t>S-11121</t>
  </si>
  <si>
    <t>11138 bkd</t>
  </si>
  <si>
    <t>S-10782</t>
  </si>
  <si>
    <t>S-10980</t>
  </si>
  <si>
    <t>S-10996</t>
  </si>
  <si>
    <t>S-10998</t>
  </si>
  <si>
    <t>10946 bkd</t>
  </si>
  <si>
    <t>S-10510</t>
  </si>
  <si>
    <t>S-11108</t>
  </si>
  <si>
    <t>S-10651</t>
  </si>
  <si>
    <t>S-11139</t>
  </si>
  <si>
    <t>S-10520</t>
  </si>
  <si>
    <t>10918 bkd</t>
  </si>
  <si>
    <t>S-10780</t>
  </si>
  <si>
    <t>S-11141</t>
  </si>
  <si>
    <t>S-11054</t>
  </si>
  <si>
    <t>S-11068</t>
  </si>
  <si>
    <t>S-11097</t>
  </si>
  <si>
    <t>S-11123</t>
  </si>
  <si>
    <t>S-11142</t>
  </si>
  <si>
    <t>S-11137</t>
  </si>
  <si>
    <t>S-10946</t>
  </si>
  <si>
    <t>S-11069</t>
  </si>
  <si>
    <t>10588 redo</t>
  </si>
  <si>
    <t>S-11070</t>
  </si>
  <si>
    <t>S-11083</t>
  </si>
  <si>
    <t>S-10917</t>
  </si>
  <si>
    <t>Kings</t>
  </si>
  <si>
    <t>Matariki</t>
  </si>
  <si>
    <t>B'day</t>
  </si>
  <si>
    <t>7am-5pm (Neil work 3 days)</t>
  </si>
  <si>
    <t>didn’t adjust hours as ahead of schedule</t>
  </si>
  <si>
    <t>S-10746</t>
  </si>
  <si>
    <t>11039 bkd</t>
  </si>
  <si>
    <t>S-10904</t>
  </si>
  <si>
    <t>S-10548</t>
  </si>
  <si>
    <t>S-10785</t>
  </si>
  <si>
    <t>10785 bkd</t>
  </si>
  <si>
    <t>S-11285</t>
  </si>
  <si>
    <t>10798 bkd</t>
  </si>
  <si>
    <t>S-10788</t>
  </si>
  <si>
    <t>S-10496</t>
  </si>
  <si>
    <t>S-11159</t>
  </si>
  <si>
    <t>10739 bkd</t>
  </si>
  <si>
    <t>S-10747</t>
  </si>
  <si>
    <t>S-11155</t>
  </si>
  <si>
    <t>S-11282</t>
  </si>
  <si>
    <t>S-11135</t>
  </si>
  <si>
    <t>11139 bkd</t>
  </si>
  <si>
    <t>S-11168</t>
  </si>
  <si>
    <t>S-10585</t>
  </si>
  <si>
    <t>S-10549</t>
  </si>
  <si>
    <t>S-11074</t>
  </si>
  <si>
    <t>S-10919</t>
  </si>
  <si>
    <t>S-10789</t>
  </si>
  <si>
    <t>10720 bkd</t>
  </si>
  <si>
    <t>S-11154</t>
  </si>
  <si>
    <t>S-11274</t>
  </si>
  <si>
    <t>S-11107</t>
  </si>
  <si>
    <t>S-10752</t>
  </si>
  <si>
    <t>10752 bkd</t>
  </si>
  <si>
    <t>S-11119</t>
  </si>
  <si>
    <t>S-11117</t>
  </si>
  <si>
    <t>S-11203</t>
  </si>
  <si>
    <t>S-10972</t>
  </si>
  <si>
    <t>S-11160</t>
  </si>
  <si>
    <t>S-11075</t>
  </si>
  <si>
    <t>S-10914</t>
  </si>
  <si>
    <t>S-11016</t>
  </si>
  <si>
    <t>S-11071</t>
  </si>
  <si>
    <t>S-11140</t>
  </si>
  <si>
    <t>11158 bkd</t>
  </si>
  <si>
    <t>S-10739</t>
  </si>
  <si>
    <t>S-11212</t>
  </si>
  <si>
    <t>11324 bkd</t>
  </si>
  <si>
    <t>S-11215</t>
  </si>
  <si>
    <t>S-11177</t>
  </si>
  <si>
    <t>S-11241</t>
  </si>
  <si>
    <t>S-10973</t>
  </si>
  <si>
    <t>S-11230</t>
  </si>
  <si>
    <t>S-11190</t>
  </si>
  <si>
    <t>S-1120</t>
  </si>
  <si>
    <t>S-11017</t>
  </si>
  <si>
    <t>S-11158</t>
  </si>
  <si>
    <t>S-11324</t>
  </si>
  <si>
    <t>S-11253</t>
  </si>
  <si>
    <t>S-11348</t>
  </si>
  <si>
    <t>11349 bkd</t>
  </si>
  <si>
    <t>Mthd grp</t>
  </si>
  <si>
    <t>S-11174</t>
  </si>
  <si>
    <t>S-11151</t>
  </si>
  <si>
    <t>S-10974</t>
  </si>
  <si>
    <t>S-11231</t>
  </si>
  <si>
    <t>S-10720</t>
  </si>
  <si>
    <t>S-10967</t>
  </si>
  <si>
    <t>S-11347</t>
  </si>
  <si>
    <t>S-11349</t>
  </si>
  <si>
    <t>S-11171</t>
  </si>
  <si>
    <t>S-10995</t>
  </si>
  <si>
    <t>S-11207</t>
  </si>
  <si>
    <t>S-11315</t>
  </si>
  <si>
    <t>S-11310</t>
  </si>
  <si>
    <t>S-11085</t>
  </si>
  <si>
    <t>S-11152</t>
  </si>
  <si>
    <t>S-11313</t>
  </si>
  <si>
    <t>S-11206</t>
  </si>
  <si>
    <t>S-11323</t>
  </si>
  <si>
    <t>S-10949</t>
  </si>
  <si>
    <t>11371 bkd</t>
  </si>
  <si>
    <t>S-11394</t>
  </si>
  <si>
    <t>10605 bkd</t>
  </si>
  <si>
    <t>S-10895</t>
  </si>
  <si>
    <t>S-11370</t>
  </si>
  <si>
    <t>11214 bkd</t>
  </si>
  <si>
    <t>S-11088</t>
  </si>
  <si>
    <t>S-11490</t>
  </si>
  <si>
    <t>S-11003</t>
  </si>
  <si>
    <t>S-11524</t>
  </si>
  <si>
    <t>S-11505</t>
  </si>
  <si>
    <t>S-11460</t>
  </si>
  <si>
    <t>S-10503</t>
  </si>
  <si>
    <t>S-11189</t>
  </si>
  <si>
    <t>S-11301</t>
  </si>
  <si>
    <t>S-10604</t>
  </si>
  <si>
    <t>S-11361</t>
  </si>
  <si>
    <t>S-11437</t>
  </si>
  <si>
    <t>S-10592</t>
  </si>
  <si>
    <t>S-11491</t>
  </si>
  <si>
    <t>S-11293</t>
  </si>
  <si>
    <t>S-11525</t>
  </si>
  <si>
    <t>S-11533</t>
  </si>
  <si>
    <t>S-11149</t>
  </si>
  <si>
    <t>11135 bkd</t>
  </si>
  <si>
    <t>S-11279</t>
  </si>
  <si>
    <t>S-11048</t>
  </si>
  <si>
    <t>S-11359</t>
  </si>
  <si>
    <t>S-11418</t>
  </si>
  <si>
    <t>S-11427</t>
  </si>
  <si>
    <t>S-11423</t>
  </si>
  <si>
    <t>S-10798</t>
  </si>
  <si>
    <t>S-11350</t>
  </si>
  <si>
    <t>S-11456</t>
  </si>
  <si>
    <t>11442 bkd</t>
  </si>
  <si>
    <t>S-11461</t>
  </si>
  <si>
    <t>S-10501</t>
  </si>
  <si>
    <t>S-11556</t>
  </si>
  <si>
    <t>S-11120</t>
  </si>
  <si>
    <t>11382 bkd</t>
  </si>
  <si>
    <t>S-11360</t>
  </si>
  <si>
    <t>S-10786</t>
  </si>
  <si>
    <t>S-10605</t>
  </si>
  <si>
    <t>11427 bkd</t>
  </si>
  <si>
    <t>11451 bkd</t>
  </si>
  <si>
    <t>S-11269</t>
  </si>
  <si>
    <t>11459 bkd</t>
  </si>
  <si>
    <t>S-11550</t>
  </si>
  <si>
    <t>S-11534</t>
  </si>
  <si>
    <t>S-11267</t>
  </si>
  <si>
    <t>S-11371</t>
  </si>
  <si>
    <t>S-10185</t>
  </si>
  <si>
    <t>11189 bkd</t>
  </si>
  <si>
    <t>S-11442</t>
  </si>
  <si>
    <t>S-11214</t>
  </si>
  <si>
    <t>S-11479</t>
  </si>
  <si>
    <t>S-9181</t>
  </si>
  <si>
    <t>S-11382</t>
  </si>
  <si>
    <t>S-11472</t>
  </si>
  <si>
    <t>S-11451</t>
  </si>
  <si>
    <t>S-11459</t>
  </si>
  <si>
    <t>S-11407</t>
  </si>
  <si>
    <t>S-11476</t>
  </si>
  <si>
    <t>S-10502</t>
  </si>
  <si>
    <t>Hours changed to 37.8 per day</t>
  </si>
  <si>
    <t>Hours changed to 39.1 per day</t>
  </si>
  <si>
    <t>S-11268</t>
  </si>
  <si>
    <t>S-11569</t>
  </si>
  <si>
    <t>S-11494</t>
  </si>
  <si>
    <t>S-11575</t>
  </si>
  <si>
    <t>S-11610</t>
  </si>
  <si>
    <t>S-11630</t>
  </si>
  <si>
    <t>S-11543</t>
  </si>
  <si>
    <t>S-11325</t>
  </si>
  <si>
    <t>S-10874</t>
  </si>
  <si>
    <t>S-11055</t>
  </si>
  <si>
    <t>S-11314</t>
  </si>
  <si>
    <t>S-10897</t>
  </si>
  <si>
    <t>S-11674</t>
  </si>
  <si>
    <t>S-11356</t>
  </si>
  <si>
    <t>S-10197</t>
  </si>
  <si>
    <t>S-11735</t>
  </si>
  <si>
    <t>S-11453</t>
  </si>
  <si>
    <t>S-10429</t>
  </si>
  <si>
    <t>S-11578</t>
  </si>
  <si>
    <t>S-11557</t>
  </si>
  <si>
    <t>S-11181</t>
  </si>
  <si>
    <t>S-11614</t>
  </si>
  <si>
    <t>S-11237</t>
  </si>
  <si>
    <t>S-10768</t>
  </si>
  <si>
    <t>S-11611</t>
  </si>
  <si>
    <t>11648 bkd</t>
  </si>
  <si>
    <t>S-11602</t>
  </si>
  <si>
    <t>S-11655</t>
  </si>
  <si>
    <t>11602 Bkd</t>
  </si>
  <si>
    <t>S-11240</t>
  </si>
  <si>
    <t>S-11357</t>
  </si>
  <si>
    <t>S-11184</t>
  </si>
  <si>
    <t>S-11703</t>
  </si>
  <si>
    <t>S-11454</t>
  </si>
  <si>
    <t>S-11364</t>
  </si>
  <si>
    <t>11365 bkd</t>
  </si>
  <si>
    <t>S-11579</t>
  </si>
  <si>
    <t>S-11562</t>
  </si>
  <si>
    <t>S-11583</t>
  </si>
  <si>
    <t>S-11411</t>
  </si>
  <si>
    <t>S-11623</t>
  </si>
  <si>
    <t>S-11238</t>
  </si>
  <si>
    <t>S-11531</t>
  </si>
  <si>
    <t>S-11617</t>
  </si>
  <si>
    <t>S-10896</t>
  </si>
  <si>
    <t>S-11607</t>
  </si>
  <si>
    <t>11673 bkd</t>
  </si>
  <si>
    <t>S-11559</t>
  </si>
  <si>
    <t>S-11689</t>
  </si>
  <si>
    <t>S-11365</t>
  </si>
  <si>
    <t>S-10951</t>
  </si>
  <si>
    <t>S-11584</t>
  </si>
  <si>
    <t>S-11258</t>
  </si>
  <si>
    <t>S-11587</t>
  </si>
  <si>
    <t>S-11239</t>
  </si>
  <si>
    <t>S-10818</t>
  </si>
  <si>
    <t>S-11640</t>
  </si>
  <si>
    <t>S-11648</t>
  </si>
  <si>
    <t>S-11621</t>
  </si>
  <si>
    <t>S-11672</t>
  </si>
  <si>
    <t>S-11693</t>
  </si>
  <si>
    <t>S-11714</t>
  </si>
  <si>
    <t>11714 bkd</t>
  </si>
  <si>
    <t>S-11705</t>
  </si>
  <si>
    <t>S-11565</t>
  </si>
  <si>
    <t>S-11532</t>
  </si>
  <si>
    <t>S-11566</t>
  </si>
  <si>
    <t>S-11606</t>
  </si>
  <si>
    <t>S-11658</t>
  </si>
  <si>
    <t>S-11633</t>
  </si>
  <si>
    <t>S-11659</t>
  </si>
  <si>
    <t>S-11624</t>
  </si>
  <si>
    <t>S-11673</t>
  </si>
  <si>
    <t>S-11692</t>
  </si>
  <si>
    <t>S-9228</t>
  </si>
  <si>
    <t>bkd hrs</t>
  </si>
  <si>
    <t>S-11712</t>
  </si>
  <si>
    <t>11712 bkd</t>
  </si>
  <si>
    <t>S-11257</t>
  </si>
  <si>
    <t>S-11599</t>
  </si>
  <si>
    <t>S-11707</t>
  </si>
  <si>
    <t>S-11335</t>
  </si>
  <si>
    <t>S-11643</t>
  </si>
  <si>
    <t>11749 bkd</t>
  </si>
  <si>
    <t>S-11196</t>
  </si>
  <si>
    <t>S-11682</t>
  </si>
  <si>
    <t>S-11343</t>
  </si>
  <si>
    <t>S-11717</t>
  </si>
  <si>
    <t>S-11839</t>
  </si>
  <si>
    <t>11718 bkd</t>
  </si>
  <si>
    <t>S-11815</t>
  </si>
  <si>
    <t>S-11632</t>
  </si>
  <si>
    <t>S-11742</t>
  </si>
  <si>
    <t>S-11789</t>
  </si>
  <si>
    <t>S-11719</t>
  </si>
  <si>
    <t>S-11379</t>
  </si>
  <si>
    <t>11455 bkd</t>
  </si>
  <si>
    <t>S-10428</t>
  </si>
  <si>
    <t>S-11748</t>
  </si>
  <si>
    <t>S-11197</t>
  </si>
  <si>
    <t>S-11722</t>
  </si>
  <si>
    <t>S-11344</t>
  </si>
  <si>
    <t>S-11846</t>
  </si>
  <si>
    <t>11717 bkd</t>
  </si>
  <si>
    <t>S-11843</t>
  </si>
  <si>
    <t>S-11656</t>
  </si>
  <si>
    <t>S-11764</t>
  </si>
  <si>
    <t>S-11835</t>
  </si>
  <si>
    <t>S-11709</t>
  </si>
  <si>
    <t>S-11706</t>
  </si>
  <si>
    <t>S-11076</t>
  </si>
  <si>
    <t>11076 bkd</t>
  </si>
  <si>
    <t>S-11749</t>
  </si>
  <si>
    <t>11748 bkd</t>
  </si>
  <si>
    <t>S-11588</t>
  </si>
  <si>
    <t>S-11567</t>
  </si>
  <si>
    <t>S-11847</t>
  </si>
  <si>
    <t>S-11718</t>
  </si>
  <si>
    <t>S-11849</t>
  </si>
  <si>
    <t>S-11831</t>
  </si>
  <si>
    <t>S-11021</t>
  </si>
  <si>
    <t>S-11812</t>
  </si>
  <si>
    <t>S-11833</t>
  </si>
  <si>
    <t>S-11541</t>
  </si>
  <si>
    <t>11454 Bkd</t>
  </si>
  <si>
    <t>S-11778</t>
  </si>
  <si>
    <t>S-11790</t>
  </si>
  <si>
    <t>S-11751</t>
  </si>
  <si>
    <t>11751 bkd</t>
  </si>
  <si>
    <t>S-11848</t>
  </si>
  <si>
    <t>S-11775</t>
  </si>
  <si>
    <t>S-11832</t>
  </si>
  <si>
    <t>S-11020</t>
  </si>
  <si>
    <t>S-11503</t>
  </si>
  <si>
    <t>S-11455</t>
  </si>
  <si>
    <t>S-11547</t>
  </si>
  <si>
    <t>11547 bkd</t>
  </si>
  <si>
    <t>S-11841</t>
  </si>
  <si>
    <t>S-11776</t>
  </si>
  <si>
    <t>S-11834</t>
  </si>
  <si>
    <t>S-11011</t>
  </si>
  <si>
    <t>S-11858</t>
  </si>
  <si>
    <t>11791 bkd</t>
  </si>
  <si>
    <t>11689 bkd</t>
  </si>
  <si>
    <t>S-11850</t>
  </si>
  <si>
    <t>11850 bkd</t>
  </si>
  <si>
    <t>Labour</t>
  </si>
  <si>
    <t>Gary away on Holiday</t>
  </si>
  <si>
    <t>Day</t>
  </si>
  <si>
    <t>S-11702</t>
  </si>
  <si>
    <t>S-11787</t>
  </si>
  <si>
    <t>S-11752</t>
  </si>
  <si>
    <t>S-11452</t>
  </si>
  <si>
    <t>S-11528</t>
  </si>
  <si>
    <t>S-11249</t>
  </si>
  <si>
    <t>11251 bkd</t>
  </si>
  <si>
    <t>S-11552</t>
  </si>
  <si>
    <t>11552 bkd</t>
  </si>
  <si>
    <t>S-11698</t>
  </si>
  <si>
    <t>S-11809</t>
  </si>
  <si>
    <t>S-11250</t>
  </si>
  <si>
    <t>S-11252</t>
  </si>
  <si>
    <t>S-11837</t>
  </si>
  <si>
    <t>S-11690</t>
  </si>
  <si>
    <t>S-11251</t>
  </si>
  <si>
    <t>S-11697</t>
  </si>
  <si>
    <t>S-11589</t>
  </si>
  <si>
    <t>S-11836</t>
  </si>
  <si>
    <t>S-11683</t>
  </si>
  <si>
    <t>S-11512</t>
  </si>
  <si>
    <t>S-11403</t>
  </si>
  <si>
    <t>S-11404</t>
  </si>
  <si>
    <t>S-11592</t>
  </si>
  <si>
    <t>S-11470</t>
  </si>
  <si>
    <t>S-11788</t>
  </si>
  <si>
    <t>WEEKLY SCHEDULE</t>
  </si>
  <si>
    <t>Week</t>
  </si>
  <si>
    <t>No. of days</t>
  </si>
  <si>
    <t>Allocated hours</t>
  </si>
  <si>
    <t>Total per day</t>
  </si>
  <si>
    <t>Total per week</t>
  </si>
  <si>
    <t>Hours remaining</t>
  </si>
  <si>
    <t>Wk 3: (Jan)</t>
  </si>
  <si>
    <t>Wk 4: (Jan)</t>
  </si>
  <si>
    <t>Wk 5: (Jan)</t>
  </si>
  <si>
    <t>Wk 6: (Feb)</t>
  </si>
  <si>
    <t>Wk 7: (Feb)</t>
  </si>
  <si>
    <t>Wk 8: (Feb)</t>
  </si>
  <si>
    <t>Wk 9: (Feb)</t>
  </si>
  <si>
    <t>Wk 10: (Mar)</t>
  </si>
  <si>
    <t>Wk 11: (Mar)</t>
  </si>
  <si>
    <t>Wk 12: (Mar)</t>
  </si>
  <si>
    <t>Wk 13: (Mar)</t>
  </si>
  <si>
    <t>Wk 14: (Mar/Apr)</t>
  </si>
  <si>
    <t>Wk 15: (Apr)</t>
  </si>
  <si>
    <t>Wk 16: (Apr)</t>
  </si>
  <si>
    <t>Wk 17: (Apr)</t>
  </si>
  <si>
    <t>Wk 18: (Apr/May)</t>
  </si>
  <si>
    <t>Wk 19: (May)</t>
  </si>
  <si>
    <t>Wk 20: (May)</t>
  </si>
  <si>
    <t>Wk 21: (May)</t>
  </si>
  <si>
    <t>Wk 22: (May)</t>
  </si>
  <si>
    <t>Wk 23: (Jun)</t>
  </si>
  <si>
    <t>Wk 24: (Jun)</t>
  </si>
  <si>
    <t>Wk 25: (Jun)</t>
  </si>
  <si>
    <t>Wk 26: (Jun)</t>
  </si>
  <si>
    <t>Wk 27: (Jun/Jul)</t>
  </si>
  <si>
    <t>Wk 28: (Jul)</t>
  </si>
  <si>
    <t>Wk 29: (Jul)</t>
  </si>
  <si>
    <t>Wk 30: (Jul)</t>
  </si>
  <si>
    <t>Wk 31: (Jul/Aug)</t>
  </si>
  <si>
    <t>Wk 32: (Aug)</t>
  </si>
  <si>
    <t>Wk 33: (Aug)</t>
  </si>
  <si>
    <t>Wk 34: (Aug)</t>
  </si>
  <si>
    <t>Wk 35: (Aug)</t>
  </si>
  <si>
    <t>Wk 36: (Sep)</t>
  </si>
  <si>
    <t>Wk 37: (Sep)</t>
  </si>
  <si>
    <t>Wk 38: (Sep)</t>
  </si>
  <si>
    <t>Wk 39: (Sep)</t>
  </si>
  <si>
    <t>Wk 40: (Sep/Oct)</t>
  </si>
  <si>
    <t>Wk 41: (Oct)</t>
  </si>
  <si>
    <t>Wk 42: (Oct)</t>
  </si>
  <si>
    <t>Wk 43: (Oct)</t>
  </si>
  <si>
    <t>Wk 44: (Oct)</t>
  </si>
  <si>
    <t>Wk 45: (Nov)</t>
  </si>
  <si>
    <t>Wk 46: (Nov)</t>
  </si>
  <si>
    <t>Wk 47: (Nov)</t>
  </si>
  <si>
    <t>Wk 48: (Nov)</t>
  </si>
  <si>
    <t>Wk 49: (Dec)</t>
  </si>
  <si>
    <t>Wk 50: (Dec)</t>
  </si>
  <si>
    <t>Wk 51: (Dec)</t>
  </si>
  <si>
    <t>STANDARD HOURS</t>
  </si>
  <si>
    <t>STAFF</t>
  </si>
  <si>
    <t>HOURS PER DAY</t>
  </si>
  <si>
    <t>DAYS IN FACTORY</t>
  </si>
  <si>
    <t>TOTAL</t>
  </si>
  <si>
    <t>Deane</t>
  </si>
  <si>
    <t>Chriag</t>
  </si>
  <si>
    <t>Gary</t>
  </si>
  <si>
    <t>Neil</t>
  </si>
  <si>
    <t>Chad</t>
  </si>
  <si>
    <t>Hours per week</t>
  </si>
  <si>
    <t>Productivity percentage</t>
  </si>
  <si>
    <t>Total schedule hours per week</t>
  </si>
  <si>
    <t>Divided by working days</t>
  </si>
  <si>
    <t>Week 13-17 Jan</t>
  </si>
  <si>
    <t>Week 20-24 Jan</t>
  </si>
  <si>
    <t>Week 27-31 Jan</t>
  </si>
  <si>
    <t>Kamal</t>
  </si>
  <si>
    <t>Freddy</t>
  </si>
  <si>
    <t>Week 3-7 Feb (wk 6)</t>
  </si>
  <si>
    <t>Week 10-14 Feb (wk 7)</t>
  </si>
  <si>
    <t>Week 17-21 Feb (wk 8)</t>
  </si>
  <si>
    <t>Week 24-28 Feb (wk 9)</t>
  </si>
  <si>
    <t>Christoff</t>
  </si>
  <si>
    <t>Week 3-7 Mar (Wk 10)</t>
  </si>
  <si>
    <t>Week 10-14 Mar (Wk 11)</t>
  </si>
  <si>
    <t>Week 17-21 Mar (Wk 12)</t>
  </si>
  <si>
    <t>Week 24-28 Mar (Wk 13)</t>
  </si>
  <si>
    <t>Week 31-4 Apr (Wk 14)</t>
  </si>
  <si>
    <t>Week 7-11 April (Wk 15)</t>
  </si>
  <si>
    <t>Week 14-18 Mar (Wk 16)</t>
  </si>
  <si>
    <t>Week 21-25 Mar (Wk 17)</t>
  </si>
  <si>
    <t>Week 28-2 May (Wk 18)  (7am-3pm)</t>
  </si>
  <si>
    <t>Week 5-9 May (Wk 19) (7am-4pm)</t>
  </si>
  <si>
    <t>Week 12-16 May (Wk 20)  (7am-5pm)</t>
  </si>
  <si>
    <t>Week 19-23 May (Wk 21)</t>
  </si>
  <si>
    <t>Week26-30 May (Wk 22)</t>
  </si>
  <si>
    <r>
      <t xml:space="preserve">Week 2-6 June (Wk 23) </t>
    </r>
    <r>
      <rPr>
        <b/>
        <sz val="11"/>
        <color rgb="FF00B050"/>
        <rFont val="Calibri"/>
        <family val="2"/>
        <scheme val="minor"/>
      </rPr>
      <t>Kings Birthday</t>
    </r>
  </si>
  <si>
    <t>Week 9-13 June (Wk 24)</t>
  </si>
  <si>
    <r>
      <t>Week 16-20 June (Wk 25)</t>
    </r>
    <r>
      <rPr>
        <b/>
        <sz val="11"/>
        <color rgb="FF00B050"/>
        <rFont val="Calibri"/>
        <family val="2"/>
        <scheme val="minor"/>
      </rPr>
      <t xml:space="preserve"> Matariki</t>
    </r>
  </si>
  <si>
    <t>Week 23-27 June (Wk 26)</t>
  </si>
  <si>
    <t>Week 30-4 July (Wk 27)</t>
  </si>
  <si>
    <t>Week7-11 July (Wk 28)</t>
  </si>
  <si>
    <t>Week 14-18 July (Wk 29)</t>
  </si>
  <si>
    <t>Week 21-25 July (Wk 30)</t>
  </si>
  <si>
    <t>Week 28-1 Aug (Wk 31)</t>
  </si>
  <si>
    <t>kamal</t>
  </si>
  <si>
    <t>Week 4-8 Aug (Wk 32)</t>
  </si>
  <si>
    <t>Week 11-15 Aug (Wk 33)</t>
  </si>
  <si>
    <t>Week 18-22 Aug (Wk 34)</t>
  </si>
  <si>
    <t>Week 25-29 Aug (Wk 35)</t>
  </si>
  <si>
    <t>Week 1-5 Sept (Wk 36)</t>
  </si>
  <si>
    <t>Week 8-12 Sept (Wk 37)</t>
  </si>
  <si>
    <t>Week 15-19 Sept (Wk 38)</t>
  </si>
  <si>
    <t>Week 22-26 Sept (Wk 39)</t>
  </si>
  <si>
    <t>Week 29 Sept-3 Oct (Wk 40)</t>
  </si>
  <si>
    <t>Week 6-10 Oct (Wk 41)</t>
  </si>
  <si>
    <t>Week 13-17 Oct (Wk 42)</t>
  </si>
  <si>
    <t>Week 20-24 Oct (Wk 43)</t>
  </si>
  <si>
    <t>Week 28-31 Oct (Wk 44)</t>
  </si>
  <si>
    <t>27th Oct Holiday</t>
  </si>
  <si>
    <t>Week 3-7 Nov (Wk 45)</t>
  </si>
  <si>
    <t>Week 10-14 Nov (Wk 46)</t>
  </si>
  <si>
    <t>Week 17-21 Nov (Wk 47)</t>
  </si>
  <si>
    <t>Week 24-28 Nov (Wk 48)</t>
  </si>
  <si>
    <t>Week 3-7 Dec (Wk 49)</t>
  </si>
  <si>
    <t>Week 8-12 Dec (Wk 50)</t>
  </si>
  <si>
    <t>Week 15-19 Dec (Wk 51)</t>
  </si>
  <si>
    <t>S-11879</t>
  </si>
  <si>
    <t>S-11862</t>
  </si>
  <si>
    <t>S-11877</t>
  </si>
  <si>
    <t>S-11761</t>
  </si>
  <si>
    <t>S-11884</t>
  </si>
  <si>
    <t>S-11888</t>
  </si>
  <si>
    <t>S-11889</t>
  </si>
  <si>
    <t>S-11890</t>
  </si>
  <si>
    <t>S-11892</t>
  </si>
  <si>
    <t>S-11893</t>
  </si>
  <si>
    <t>S-11891</t>
  </si>
  <si>
    <t>S-11895</t>
  </si>
  <si>
    <t>11503 bkd</t>
  </si>
  <si>
    <t>S-11905</t>
  </si>
  <si>
    <t>S-11906</t>
  </si>
  <si>
    <t>S-11907</t>
  </si>
  <si>
    <t>S-11880</t>
  </si>
  <si>
    <t>S-11930</t>
  </si>
  <si>
    <t>S-11937</t>
  </si>
  <si>
    <t>S-11942</t>
  </si>
  <si>
    <t>S-11923</t>
  </si>
  <si>
    <t>S-11915</t>
  </si>
  <si>
    <t>11915 bkd</t>
  </si>
  <si>
    <t>S-11935</t>
  </si>
  <si>
    <t>11935 bkd</t>
  </si>
  <si>
    <t>S-11940</t>
  </si>
  <si>
    <t>11940 bkd</t>
  </si>
  <si>
    <t>S-11941</t>
  </si>
  <si>
    <t>S-11912</t>
  </si>
  <si>
    <t>11912 bkd</t>
  </si>
  <si>
    <t>Iline Land</t>
  </si>
  <si>
    <t>S-11914</t>
  </si>
  <si>
    <t>S-11913</t>
  </si>
  <si>
    <t>S-11946</t>
  </si>
  <si>
    <t>S-11947</t>
  </si>
  <si>
    <t>S-11955</t>
  </si>
  <si>
    <t>11698 bkd</t>
  </si>
  <si>
    <t>S-11960</t>
  </si>
  <si>
    <t>S-9538</t>
  </si>
  <si>
    <t>S-11972</t>
  </si>
  <si>
    <t>S-11976</t>
  </si>
  <si>
    <t>S-11916</t>
  </si>
  <si>
    <t>S-11991</t>
  </si>
  <si>
    <t>S-11998</t>
  </si>
  <si>
    <t>S-11999</t>
  </si>
  <si>
    <t>S-12018</t>
  </si>
  <si>
    <t>S-11952</t>
  </si>
  <si>
    <t>S-11990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</si>
</sst>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0" tint="-0.14999847407452621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 tint="-0.14999847407452621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11" fillId="21" borderId="6" applyNumberFormat="0" applyFont="0" applyAlignment="0" applyProtection="0"/>
  </cellStyleXfs>
  <cellXfs count="110">
    <xf numFmtId="0" fontId="0" fillId="0" borderId="0" xfId="0"/>
    <xf numFmtId="0" fontId="1" fillId="2" borderId="1" xfId="1" applyBorder="1"/>
    <xf numFmtId="0" fontId="1" fillId="2" borderId="0" xfId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16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4" fontId="1" fillId="2" borderId="1" xfId="1" applyNumberFormat="1" applyBorder="1"/>
    <xf numFmtId="164" fontId="1" fillId="2" borderId="0" xfId="1" applyNumberFormat="1" applyBorder="1"/>
    <xf numFmtId="16" fontId="2" fillId="4" borderId="0" xfId="2" applyNumberFormat="1"/>
    <xf numFmtId="0" fontId="2" fillId="4" borderId="0" xfId="2" applyAlignment="1">
      <alignment horizontal="center"/>
    </xf>
    <xf numFmtId="0" fontId="2" fillId="4" borderId="0" xfId="2"/>
    <xf numFmtId="164" fontId="2" fillId="4" borderId="0" xfId="2" applyNumberFormat="1" applyBorder="1"/>
    <xf numFmtId="16" fontId="3" fillId="5" borderId="0" xfId="3" applyNumberFormat="1"/>
    <xf numFmtId="0" fontId="3" fillId="5" borderId="0" xfId="3" applyAlignment="1">
      <alignment horizontal="center"/>
    </xf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" fontId="0" fillId="12" borderId="0" xfId="0" applyNumberFormat="1" applyFill="1"/>
    <xf numFmtId="0" fontId="0" fillId="13" borderId="0" xfId="1" applyFont="1" applyFill="1" applyAlignment="1">
      <alignment horizontal="center"/>
    </xf>
    <xf numFmtId="0" fontId="0" fillId="12" borderId="0" xfId="0" applyFill="1"/>
    <xf numFmtId="0" fontId="0" fillId="14" borderId="0" xfId="0" applyFill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15" borderId="2" xfId="0" applyFont="1" applyFill="1" applyBorder="1"/>
    <xf numFmtId="0" fontId="6" fillId="15" borderId="2" xfId="0" applyFont="1" applyFill="1" applyBorder="1" applyAlignment="1">
      <alignment horizontal="center" vertical="center"/>
    </xf>
    <xf numFmtId="0" fontId="0" fillId="16" borderId="2" xfId="0" applyFill="1" applyBorder="1"/>
    <xf numFmtId="0" fontId="0" fillId="16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5" borderId="2" xfId="0" applyFont="1" applyFill="1" applyBorder="1"/>
    <xf numFmtId="0" fontId="4" fillId="1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6" borderId="3" xfId="0" applyFill="1" applyBorder="1" applyAlignment="1">
      <alignment horizontal="left" vertical="center"/>
    </xf>
    <xf numFmtId="0" fontId="0" fillId="16" borderId="4" xfId="0" applyFill="1" applyBorder="1" applyAlignment="1">
      <alignment horizontal="left" vertical="center"/>
    </xf>
    <xf numFmtId="0" fontId="0" fillId="16" borderId="5" xfId="0" applyFill="1" applyBorder="1" applyAlignment="1">
      <alignment horizontal="left" vertical="center"/>
    </xf>
    <xf numFmtId="9" fontId="0" fillId="16" borderId="2" xfId="0" applyNumberForma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0" fillId="17" borderId="0" xfId="0" applyFill="1"/>
    <xf numFmtId="0" fontId="0" fillId="17" borderId="0" xfId="0" applyFill="1" applyAlignment="1">
      <alignment horizontal="center"/>
    </xf>
    <xf numFmtId="16" fontId="2" fillId="12" borderId="0" xfId="2" applyNumberFormat="1" applyFill="1"/>
    <xf numFmtId="0" fontId="2" fillId="12" borderId="0" xfId="2" applyFill="1" applyAlignment="1">
      <alignment horizontal="center"/>
    </xf>
    <xf numFmtId="0" fontId="2" fillId="12" borderId="0" xfId="2" applyFill="1"/>
    <xf numFmtId="164" fontId="2" fillId="12" borderId="0" xfId="2" applyNumberFormat="1" applyFill="1" applyBorder="1"/>
    <xf numFmtId="49" fontId="0" fillId="16" borderId="2" xfId="0" applyNumberFormat="1" applyFill="1" applyBorder="1" applyAlignment="1">
      <alignment horizontal="center" vertical="center"/>
    </xf>
    <xf numFmtId="164" fontId="5" fillId="16" borderId="2" xfId="0" applyNumberFormat="1" applyFont="1" applyFill="1" applyBorder="1"/>
    <xf numFmtId="164" fontId="0" fillId="16" borderId="2" xfId="0" applyNumberFormat="1" applyFill="1" applyBorder="1"/>
    <xf numFmtId="164" fontId="10" fillId="12" borderId="0" xfId="1" applyNumberFormat="1" applyFont="1" applyFill="1" applyBorder="1"/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9" borderId="0" xfId="0" applyFill="1"/>
    <xf numFmtId="164" fontId="1" fillId="12" borderId="0" xfId="1" applyNumberFormat="1" applyFill="1" applyBorder="1"/>
    <xf numFmtId="0" fontId="0" fillId="20" borderId="0" xfId="0" applyFill="1"/>
    <xf numFmtId="0" fontId="0" fillId="18" borderId="0" xfId="0" applyFill="1"/>
    <xf numFmtId="0" fontId="0" fillId="20" borderId="0" xfId="0" applyFill="1" applyAlignment="1">
      <alignment horizontal="center"/>
    </xf>
    <xf numFmtId="164" fontId="2" fillId="21" borderId="6" xfId="4" applyNumberFormat="1" applyFont="1"/>
    <xf numFmtId="0" fontId="7" fillId="0" borderId="0" xfId="0" applyFont="1"/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22" borderId="0" xfId="0" applyFill="1"/>
    <xf numFmtId="164" fontId="11" fillId="17" borderId="0" xfId="2" applyNumberFormat="1" applyFont="1" applyFill="1" applyBorder="1"/>
    <xf numFmtId="164" fontId="1" fillId="22" borderId="0" xfId="1" applyNumberFormat="1" applyFill="1" applyBorder="1"/>
    <xf numFmtId="164" fontId="2" fillId="22" borderId="0" xfId="2" applyNumberFormat="1" applyFill="1" applyBorder="1"/>
    <xf numFmtId="0" fontId="8" fillId="16" borderId="2" xfId="0" applyFont="1" applyFill="1" applyBorder="1"/>
    <xf numFmtId="1" fontId="8" fillId="16" borderId="2" xfId="0" applyNumberFormat="1" applyFont="1" applyFill="1" applyBorder="1" applyAlignment="1">
      <alignment horizontal="center" vertical="center"/>
    </xf>
    <xf numFmtId="164" fontId="12" fillId="16" borderId="2" xfId="0" applyNumberFormat="1" applyFont="1" applyFill="1" applyBorder="1"/>
    <xf numFmtId="164" fontId="8" fillId="16" borderId="2" xfId="0" applyNumberFormat="1" applyFont="1" applyFill="1" applyBorder="1"/>
    <xf numFmtId="0" fontId="8" fillId="16" borderId="2" xfId="0" applyFont="1" applyFill="1" applyBorder="1" applyAlignment="1">
      <alignment horizontal="center" vertical="center"/>
    </xf>
    <xf numFmtId="0" fontId="1" fillId="23" borderId="0" xfId="1" applyFill="1" applyAlignment="1">
      <alignment horizontal="center"/>
    </xf>
    <xf numFmtId="0" fontId="0" fillId="24" borderId="0" xfId="0" applyFill="1"/>
    <xf numFmtId="0" fontId="0" fillId="25" borderId="0" xfId="0" applyFill="1"/>
    <xf numFmtId="0" fontId="0" fillId="22" borderId="0" xfId="0" applyFill="1" applyAlignment="1">
      <alignment horizontal="center"/>
    </xf>
    <xf numFmtId="0" fontId="0" fillId="26" borderId="0" xfId="0" applyFill="1" applyAlignment="1">
      <alignment horizontal="center"/>
    </xf>
    <xf numFmtId="164" fontId="7" fillId="16" borderId="2" xfId="0" applyNumberFormat="1" applyFont="1" applyFill="1" applyBorder="1" applyAlignment="1">
      <alignment horizontal="center" vertical="center"/>
    </xf>
    <xf numFmtId="164" fontId="1" fillId="6" borderId="0" xfId="1" applyNumberFormat="1" applyFill="1" applyBorder="1"/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164" fontId="2" fillId="4" borderId="0" xfId="2" applyNumberFormat="1"/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164" fontId="1" fillId="2" borderId="0" xfId="1" applyNumberFormat="1" applyBorder="1" applyAlignment="1">
      <alignment horizontal="center"/>
    </xf>
    <xf numFmtId="164" fontId="2" fillId="4" borderId="0" xfId="2" applyNumberFormat="1" applyBorder="1" applyAlignment="1">
      <alignment horizontal="center"/>
    </xf>
    <xf numFmtId="164" fontId="1" fillId="2" borderId="0" xfId="1" applyNumberFormat="1"/>
    <xf numFmtId="164" fontId="1" fillId="12" borderId="0" xfId="1" applyNumberFormat="1" applyFill="1" applyBorder="1" applyAlignment="1">
      <alignment horizontal="center"/>
    </xf>
    <xf numFmtId="0" fontId="5" fillId="6" borderId="2" xfId="0" applyFont="1" applyFill="1" applyBorder="1"/>
    <xf numFmtId="16" fontId="2" fillId="4" borderId="0" xfId="2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2" fillId="4" borderId="0" xfId="2" applyNumberFormat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left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16" borderId="3" xfId="0" applyFill="1" applyBorder="1" applyAlignment="1">
      <alignment horizontal="left" vertical="center"/>
    </xf>
    <xf numFmtId="0" fontId="0" fillId="16" borderId="4" xfId="0" applyFill="1" applyBorder="1" applyAlignment="1">
      <alignment horizontal="left" vertical="center"/>
    </xf>
    <xf numFmtId="0" fontId="0" fillId="16" borderId="5" xfId="0" applyFill="1" applyBorder="1" applyAlignment="1">
      <alignment horizontal="left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Weekly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'Schedule Graph'!$C$3</c:f>
              <c:strCache>
                <c:ptCount val="1"/>
                <c:pt idx="0">
                  <c:v>Allocated hours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'Schedule Graph'!$A$4:$A$52</c:f>
              <c:strCache>
                <c:ptCount val="49"/>
                <c:pt idx="0">
                  <c:v>Wk 3: (Jan)</c:v>
                </c:pt>
                <c:pt idx="1">
                  <c:v>Wk 4: (Jan)</c:v>
                </c:pt>
                <c:pt idx="2">
                  <c:v>Wk 5: (Jan)</c:v>
                </c:pt>
                <c:pt idx="3">
                  <c:v>Wk 6: (Feb)</c:v>
                </c:pt>
                <c:pt idx="4">
                  <c:v>Wk 7: (Feb)</c:v>
                </c:pt>
                <c:pt idx="5">
                  <c:v>Wk 8: (Feb)</c:v>
                </c:pt>
                <c:pt idx="6">
                  <c:v>Wk 9: (Feb)</c:v>
                </c:pt>
                <c:pt idx="7">
                  <c:v>Wk 10: (Mar)</c:v>
                </c:pt>
                <c:pt idx="8">
                  <c:v>Wk 11: (Mar)</c:v>
                </c:pt>
                <c:pt idx="9">
                  <c:v>Wk 12: (Mar)</c:v>
                </c:pt>
                <c:pt idx="10">
                  <c:v>Wk 13: (Mar)</c:v>
                </c:pt>
                <c:pt idx="11">
                  <c:v>Wk 14: (Mar/Apr)</c:v>
                </c:pt>
                <c:pt idx="12">
                  <c:v>Wk 15: (Apr)</c:v>
                </c:pt>
                <c:pt idx="13">
                  <c:v>Wk 16: (Apr)</c:v>
                </c:pt>
                <c:pt idx="14">
                  <c:v>Wk 17: (Apr)</c:v>
                </c:pt>
                <c:pt idx="15">
                  <c:v>Wk 18: (Apr/May)</c:v>
                </c:pt>
                <c:pt idx="16">
                  <c:v>Wk 19: (May)</c:v>
                </c:pt>
                <c:pt idx="17">
                  <c:v>Wk 20: (May)</c:v>
                </c:pt>
                <c:pt idx="18">
                  <c:v>Wk 21: (May)</c:v>
                </c:pt>
                <c:pt idx="19">
                  <c:v>Wk 22: (May)</c:v>
                </c:pt>
                <c:pt idx="20">
                  <c:v>Wk 23: (Jun)</c:v>
                </c:pt>
                <c:pt idx="21">
                  <c:v>Wk 24: (Jun)</c:v>
                </c:pt>
                <c:pt idx="22">
                  <c:v>Wk 25: (Jun)</c:v>
                </c:pt>
                <c:pt idx="23">
                  <c:v>Wk 26: (Jun)</c:v>
                </c:pt>
                <c:pt idx="24">
                  <c:v>Wk 27: (Jun/Jul)</c:v>
                </c:pt>
                <c:pt idx="25">
                  <c:v>Wk 28: (Jul)</c:v>
                </c:pt>
                <c:pt idx="26">
                  <c:v>Wk 29: (Jul)</c:v>
                </c:pt>
                <c:pt idx="27">
                  <c:v>Wk 30: (Jul)</c:v>
                </c:pt>
                <c:pt idx="28">
                  <c:v>Wk 31: (Jul/Aug)</c:v>
                </c:pt>
                <c:pt idx="29">
                  <c:v>Wk 32: (Aug)</c:v>
                </c:pt>
                <c:pt idx="30">
                  <c:v>Wk 33: (Aug)</c:v>
                </c:pt>
                <c:pt idx="31">
                  <c:v>Wk 34: (Aug)</c:v>
                </c:pt>
                <c:pt idx="32">
                  <c:v>Wk 35: (Aug)</c:v>
                </c:pt>
                <c:pt idx="33">
                  <c:v>Wk 36: (Sep)</c:v>
                </c:pt>
                <c:pt idx="34">
                  <c:v>Wk 37: (Sep)</c:v>
                </c:pt>
                <c:pt idx="35">
                  <c:v>Wk 38: (Sep)</c:v>
                </c:pt>
                <c:pt idx="36">
                  <c:v>Wk 39: (Sep)</c:v>
                </c:pt>
                <c:pt idx="37">
                  <c:v>Wk 40: (Sep/Oct)</c:v>
                </c:pt>
                <c:pt idx="38">
                  <c:v>Wk 41: (Oct)</c:v>
                </c:pt>
                <c:pt idx="39">
                  <c:v>Wk 42: (Oct)</c:v>
                </c:pt>
                <c:pt idx="40">
                  <c:v>Wk 43: (Oct)</c:v>
                </c:pt>
                <c:pt idx="41">
                  <c:v>Wk 44: (Oct)</c:v>
                </c:pt>
                <c:pt idx="42">
                  <c:v>Wk 45: (Nov)</c:v>
                </c:pt>
                <c:pt idx="43">
                  <c:v>Wk 46: (Nov)</c:v>
                </c:pt>
                <c:pt idx="44">
                  <c:v>Wk 47: (Nov)</c:v>
                </c:pt>
                <c:pt idx="45">
                  <c:v>Wk 48: (Nov)</c:v>
                </c:pt>
                <c:pt idx="46">
                  <c:v>Wk 49: (Dec)</c:v>
                </c:pt>
                <c:pt idx="47">
                  <c:v>Wk 50: (Dec)</c:v>
                </c:pt>
                <c:pt idx="48">
                  <c:v>Wk 51: (Dec)</c:v>
                </c:pt>
              </c:strCache>
            </c:strRef>
          </c:cat>
          <c:val>
            <c:numRef>
              <c:f>'Schedule Graph'!$C$4:$C$52</c:f>
              <c:numCache>
                <c:formatCode>0.0</c:formatCode>
                <c:ptCount val="49"/>
                <c:pt idx="0">
                  <c:v>141.69999999999999</c:v>
                </c:pt>
                <c:pt idx="1">
                  <c:v>141.69999999999999</c:v>
                </c:pt>
                <c:pt idx="2">
                  <c:v>93</c:v>
                </c:pt>
                <c:pt idx="3">
                  <c:v>103.4</c:v>
                </c:pt>
                <c:pt idx="4">
                  <c:v>195.3</c:v>
                </c:pt>
                <c:pt idx="5">
                  <c:v>173.57</c:v>
                </c:pt>
                <c:pt idx="6">
                  <c:v>189</c:v>
                </c:pt>
                <c:pt idx="7">
                  <c:v>195.3</c:v>
                </c:pt>
                <c:pt idx="8">
                  <c:v>189.52000000000004</c:v>
                </c:pt>
                <c:pt idx="9">
                  <c:v>149.25</c:v>
                </c:pt>
                <c:pt idx="10">
                  <c:v>133.38</c:v>
                </c:pt>
                <c:pt idx="11">
                  <c:v>141.1</c:v>
                </c:pt>
                <c:pt idx="12">
                  <c:v>96.539999999999992</c:v>
                </c:pt>
                <c:pt idx="13">
                  <c:v>64.52</c:v>
                </c:pt>
                <c:pt idx="14">
                  <c:v>42.269999999999996</c:v>
                </c:pt>
                <c:pt idx="15">
                  <c:v>96.669999999999987</c:v>
                </c:pt>
                <c:pt idx="16">
                  <c:v>96.12</c:v>
                </c:pt>
                <c:pt idx="17">
                  <c:v>74.5</c:v>
                </c:pt>
                <c:pt idx="18">
                  <c:v>158.5</c:v>
                </c:pt>
                <c:pt idx="19">
                  <c:v>165.42</c:v>
                </c:pt>
                <c:pt idx="20">
                  <c:v>134.94999999999999</c:v>
                </c:pt>
                <c:pt idx="21">
                  <c:v>155.13</c:v>
                </c:pt>
                <c:pt idx="22">
                  <c:v>116.87</c:v>
                </c:pt>
                <c:pt idx="23">
                  <c:v>140.82</c:v>
                </c:pt>
                <c:pt idx="24">
                  <c:v>141.1</c:v>
                </c:pt>
                <c:pt idx="25">
                  <c:v>179.5</c:v>
                </c:pt>
                <c:pt idx="26">
                  <c:v>124.60999999999999</c:v>
                </c:pt>
                <c:pt idx="27">
                  <c:v>149.19999999999999</c:v>
                </c:pt>
                <c:pt idx="28">
                  <c:v>153.57</c:v>
                </c:pt>
                <c:pt idx="29">
                  <c:v>145.1</c:v>
                </c:pt>
                <c:pt idx="30">
                  <c:v>130.1</c:v>
                </c:pt>
                <c:pt idx="31">
                  <c:v>133.5</c:v>
                </c:pt>
                <c:pt idx="32">
                  <c:v>105.11</c:v>
                </c:pt>
                <c:pt idx="33">
                  <c:v>146.4</c:v>
                </c:pt>
                <c:pt idx="34">
                  <c:v>117.97999999999999</c:v>
                </c:pt>
                <c:pt idx="35">
                  <c:v>178.89999999999998</c:v>
                </c:pt>
                <c:pt idx="36">
                  <c:v>183.12</c:v>
                </c:pt>
                <c:pt idx="37">
                  <c:v>132.16999999999999</c:v>
                </c:pt>
                <c:pt idx="38">
                  <c:v>159</c:v>
                </c:pt>
                <c:pt idx="39">
                  <c:v>159.09</c:v>
                </c:pt>
                <c:pt idx="40">
                  <c:v>133.20999999999998</c:v>
                </c:pt>
                <c:pt idx="41">
                  <c:v>78.800000000000011</c:v>
                </c:pt>
                <c:pt idx="42">
                  <c:v>102.2</c:v>
                </c:pt>
                <c:pt idx="43">
                  <c:v>144.4</c:v>
                </c:pt>
                <c:pt idx="44">
                  <c:v>159.76999999999998</c:v>
                </c:pt>
                <c:pt idx="45">
                  <c:v>71.400000000000006</c:v>
                </c:pt>
                <c:pt idx="46">
                  <c:v>108.99</c:v>
                </c:pt>
                <c:pt idx="47">
                  <c:v>54.3</c:v>
                </c:pt>
                <c:pt idx="4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124-88F6-3D7A5A0F3BE2}"/>
            </c:ext>
          </c:extLst>
        </c:ser>
        <c:ser>
          <c:idx val="1"/>
          <c:order val="1"/>
          <c:tx>
            <c:strRef>
              <c:f>'Schedule Graph'!$F$3</c:f>
              <c:strCache>
                <c:ptCount val="1"/>
                <c:pt idx="0">
                  <c:v>Hours remaining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'Schedule Graph'!$A$4:$A$52</c:f>
              <c:strCache>
                <c:ptCount val="49"/>
                <c:pt idx="0">
                  <c:v>Wk 3: (Jan)</c:v>
                </c:pt>
                <c:pt idx="1">
                  <c:v>Wk 4: (Jan)</c:v>
                </c:pt>
                <c:pt idx="2">
                  <c:v>Wk 5: (Jan)</c:v>
                </c:pt>
                <c:pt idx="3">
                  <c:v>Wk 6: (Feb)</c:v>
                </c:pt>
                <c:pt idx="4">
                  <c:v>Wk 7: (Feb)</c:v>
                </c:pt>
                <c:pt idx="5">
                  <c:v>Wk 8: (Feb)</c:v>
                </c:pt>
                <c:pt idx="6">
                  <c:v>Wk 9: (Feb)</c:v>
                </c:pt>
                <c:pt idx="7">
                  <c:v>Wk 10: (Mar)</c:v>
                </c:pt>
                <c:pt idx="8">
                  <c:v>Wk 11: (Mar)</c:v>
                </c:pt>
                <c:pt idx="9">
                  <c:v>Wk 12: (Mar)</c:v>
                </c:pt>
                <c:pt idx="10">
                  <c:v>Wk 13: (Mar)</c:v>
                </c:pt>
                <c:pt idx="11">
                  <c:v>Wk 14: (Mar/Apr)</c:v>
                </c:pt>
                <c:pt idx="12">
                  <c:v>Wk 15: (Apr)</c:v>
                </c:pt>
                <c:pt idx="13">
                  <c:v>Wk 16: (Apr)</c:v>
                </c:pt>
                <c:pt idx="14">
                  <c:v>Wk 17: (Apr)</c:v>
                </c:pt>
                <c:pt idx="15">
                  <c:v>Wk 18: (Apr/May)</c:v>
                </c:pt>
                <c:pt idx="16">
                  <c:v>Wk 19: (May)</c:v>
                </c:pt>
                <c:pt idx="17">
                  <c:v>Wk 20: (May)</c:v>
                </c:pt>
                <c:pt idx="18">
                  <c:v>Wk 21: (May)</c:v>
                </c:pt>
                <c:pt idx="19">
                  <c:v>Wk 22: (May)</c:v>
                </c:pt>
                <c:pt idx="20">
                  <c:v>Wk 23: (Jun)</c:v>
                </c:pt>
                <c:pt idx="21">
                  <c:v>Wk 24: (Jun)</c:v>
                </c:pt>
                <c:pt idx="22">
                  <c:v>Wk 25: (Jun)</c:v>
                </c:pt>
                <c:pt idx="23">
                  <c:v>Wk 26: (Jun)</c:v>
                </c:pt>
                <c:pt idx="24">
                  <c:v>Wk 27: (Jun/Jul)</c:v>
                </c:pt>
                <c:pt idx="25">
                  <c:v>Wk 28: (Jul)</c:v>
                </c:pt>
                <c:pt idx="26">
                  <c:v>Wk 29: (Jul)</c:v>
                </c:pt>
                <c:pt idx="27">
                  <c:v>Wk 30: (Jul)</c:v>
                </c:pt>
                <c:pt idx="28">
                  <c:v>Wk 31: (Jul/Aug)</c:v>
                </c:pt>
                <c:pt idx="29">
                  <c:v>Wk 32: (Aug)</c:v>
                </c:pt>
                <c:pt idx="30">
                  <c:v>Wk 33: (Aug)</c:v>
                </c:pt>
                <c:pt idx="31">
                  <c:v>Wk 34: (Aug)</c:v>
                </c:pt>
                <c:pt idx="32">
                  <c:v>Wk 35: (Aug)</c:v>
                </c:pt>
                <c:pt idx="33">
                  <c:v>Wk 36: (Sep)</c:v>
                </c:pt>
                <c:pt idx="34">
                  <c:v>Wk 37: (Sep)</c:v>
                </c:pt>
                <c:pt idx="35">
                  <c:v>Wk 38: (Sep)</c:v>
                </c:pt>
                <c:pt idx="36">
                  <c:v>Wk 39: (Sep)</c:v>
                </c:pt>
                <c:pt idx="37">
                  <c:v>Wk 40: (Sep/Oct)</c:v>
                </c:pt>
                <c:pt idx="38">
                  <c:v>Wk 41: (Oct)</c:v>
                </c:pt>
                <c:pt idx="39">
                  <c:v>Wk 42: (Oct)</c:v>
                </c:pt>
                <c:pt idx="40">
                  <c:v>Wk 43: (Oct)</c:v>
                </c:pt>
                <c:pt idx="41">
                  <c:v>Wk 44: (Oct)</c:v>
                </c:pt>
                <c:pt idx="42">
                  <c:v>Wk 45: (Nov)</c:v>
                </c:pt>
                <c:pt idx="43">
                  <c:v>Wk 46: (Nov)</c:v>
                </c:pt>
                <c:pt idx="44">
                  <c:v>Wk 47: (Nov)</c:v>
                </c:pt>
                <c:pt idx="45">
                  <c:v>Wk 48: (Nov)</c:v>
                </c:pt>
                <c:pt idx="46">
                  <c:v>Wk 49: (Dec)</c:v>
                </c:pt>
                <c:pt idx="47">
                  <c:v>Wk 50: (Dec)</c:v>
                </c:pt>
                <c:pt idx="48">
                  <c:v>Wk 51: (Dec)</c:v>
                </c:pt>
              </c:strCache>
            </c:strRef>
          </c:cat>
          <c:val>
            <c:numRef>
              <c:f>'Schedule Graph'!$F$4:$F$52</c:f>
              <c:numCache>
                <c:formatCode>0.0</c:formatCode>
                <c:ptCount val="49"/>
                <c:pt idx="0">
                  <c:v>5.0000000000011369E-2</c:v>
                </c:pt>
                <c:pt idx="1">
                  <c:v>5.0000000000011369E-2</c:v>
                </c:pt>
                <c:pt idx="2">
                  <c:v>0</c:v>
                </c:pt>
                <c:pt idx="3">
                  <c:v>4.0000000000006253E-2</c:v>
                </c:pt>
                <c:pt idx="4">
                  <c:v>7.4999999999988631E-2</c:v>
                </c:pt>
                <c:pt idx="5">
                  <c:v>8.3050000000000068</c:v>
                </c:pt>
                <c:pt idx="6">
                  <c:v>6.375</c:v>
                </c:pt>
                <c:pt idx="7">
                  <c:v>7.4999999999988631E-2</c:v>
                </c:pt>
                <c:pt idx="8">
                  <c:v>5.8549999999999613</c:v>
                </c:pt>
                <c:pt idx="9">
                  <c:v>39.375</c:v>
                </c:pt>
                <c:pt idx="10">
                  <c:v>55.245000000000005</c:v>
                </c:pt>
                <c:pt idx="11">
                  <c:v>14.150000000000006</c:v>
                </c:pt>
                <c:pt idx="12">
                  <c:v>65.460000000000008</c:v>
                </c:pt>
                <c:pt idx="13">
                  <c:v>31.480000000000004</c:v>
                </c:pt>
                <c:pt idx="14">
                  <c:v>11.730000000000004</c:v>
                </c:pt>
                <c:pt idx="15">
                  <c:v>24.080000000000013</c:v>
                </c:pt>
                <c:pt idx="16">
                  <c:v>44.730000000000018</c:v>
                </c:pt>
                <c:pt idx="17">
                  <c:v>94.25</c:v>
                </c:pt>
                <c:pt idx="18">
                  <c:v>0.125</c:v>
                </c:pt>
                <c:pt idx="19">
                  <c:v>3.3300000000000125</c:v>
                </c:pt>
                <c:pt idx="20">
                  <c:v>5.0000000000011369E-2</c:v>
                </c:pt>
                <c:pt idx="21">
                  <c:v>6.8700000000000045</c:v>
                </c:pt>
                <c:pt idx="22">
                  <c:v>18.129999999999995</c:v>
                </c:pt>
                <c:pt idx="23">
                  <c:v>21.180000000000007</c:v>
                </c:pt>
                <c:pt idx="24">
                  <c:v>44.900000000000006</c:v>
                </c:pt>
                <c:pt idx="25">
                  <c:v>6.5</c:v>
                </c:pt>
                <c:pt idx="26">
                  <c:v>37.390000000000015</c:v>
                </c:pt>
                <c:pt idx="27">
                  <c:v>12.800000000000011</c:v>
                </c:pt>
                <c:pt idx="28">
                  <c:v>8.4300000000000068</c:v>
                </c:pt>
                <c:pt idx="29">
                  <c:v>16.900000000000006</c:v>
                </c:pt>
                <c:pt idx="30">
                  <c:v>45.400000000000006</c:v>
                </c:pt>
                <c:pt idx="31">
                  <c:v>35.25</c:v>
                </c:pt>
                <c:pt idx="32">
                  <c:v>63.64</c:v>
                </c:pt>
                <c:pt idx="33">
                  <c:v>46.349999999999994</c:v>
                </c:pt>
                <c:pt idx="34">
                  <c:v>74.77000000000001</c:v>
                </c:pt>
                <c:pt idx="35">
                  <c:v>13.850000000000023</c:v>
                </c:pt>
                <c:pt idx="36">
                  <c:v>9.6299999999999955</c:v>
                </c:pt>
                <c:pt idx="37">
                  <c:v>26.830000000000013</c:v>
                </c:pt>
                <c:pt idx="38">
                  <c:v>0</c:v>
                </c:pt>
                <c:pt idx="39">
                  <c:v>-9.0000000000003411E-2</c:v>
                </c:pt>
                <c:pt idx="40">
                  <c:v>25.79000000000002</c:v>
                </c:pt>
                <c:pt idx="41">
                  <c:v>21.879999999999995</c:v>
                </c:pt>
                <c:pt idx="42">
                  <c:v>90.55</c:v>
                </c:pt>
                <c:pt idx="43">
                  <c:v>48.349999999999994</c:v>
                </c:pt>
                <c:pt idx="44">
                  <c:v>32.980000000000018</c:v>
                </c:pt>
                <c:pt idx="45">
                  <c:v>121.35</c:v>
                </c:pt>
                <c:pt idx="46">
                  <c:v>83.76</c:v>
                </c:pt>
                <c:pt idx="47">
                  <c:v>138.44999999999999</c:v>
                </c:pt>
                <c:pt idx="48">
                  <c:v>129.19999999999999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124-88F6-3D7A5A0F3B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7628176"/>
        <c:axId val="1487624816"/>
      </c:barChart>
      <c:catAx>
        <c:axId val="148762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24816"/>
        <c:crosses val="autoZero"/>
        <c:auto val="1"/>
        <c:lblAlgn val="ctr"/>
        <c:lblOffset val="100"/>
        <c:noMultiLvlLbl val="0"/>
      </c:catAx>
      <c:valAx>
        <c:axId val="14876248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876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160972</xdr:colOff>
      <xdr:row>0</xdr:row>
      <xdr:rowOff>54769</xdr:rowOff>
    </xdr:from>
    <xdr:to>
      <xdr:col>32</xdr:col>
      <xdr:colOff>47625</xdr:colOff>
      <xdr:row>50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CBA71-609E-44C0-B607-AE201E1CF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C4D4-B868-493E-B84E-4E7730449C77}">
  <dimension ref="A1:AF36"/>
  <sheetViews>
    <sheetView topLeftCell="B1" zoomScale="90" zoomScaleNormal="90" workbookViewId="0">
      <selection activeCell="V37" sqref="V37"/>
    </sheetView>
  </sheetViews>
  <sheetFormatPr defaultRowHeight="14.4" x14ac:dyDescent="0.3"/>
  <cols>
    <col min="1" max="1" width="16" bestFit="1" customWidth="1"/>
  </cols>
  <sheetData>
    <row r="1" spans="1:32" x14ac:dyDescent="0.3">
      <c r="A1" s="3"/>
      <c r="B1" s="11">
        <v>45658</v>
      </c>
      <c r="C1" s="11">
        <v>45659</v>
      </c>
      <c r="D1" s="11">
        <v>45660</v>
      </c>
      <c r="E1" s="11">
        <v>45661</v>
      </c>
      <c r="F1" s="11">
        <v>45662</v>
      </c>
      <c r="G1" s="11">
        <v>45663</v>
      </c>
      <c r="H1" s="11">
        <v>45664</v>
      </c>
      <c r="I1" s="11">
        <v>45665</v>
      </c>
      <c r="J1" s="11">
        <v>45666</v>
      </c>
      <c r="K1" s="11">
        <v>45667</v>
      </c>
      <c r="L1" s="11">
        <v>45668</v>
      </c>
      <c r="M1" s="11">
        <v>45669</v>
      </c>
      <c r="N1" s="6">
        <v>45670</v>
      </c>
      <c r="O1" s="6">
        <v>45671</v>
      </c>
      <c r="P1" s="6">
        <v>45672</v>
      </c>
      <c r="Q1" s="6">
        <v>45673</v>
      </c>
      <c r="R1" s="6">
        <v>45674</v>
      </c>
      <c r="S1" s="11">
        <v>45675</v>
      </c>
      <c r="T1" s="11">
        <v>45676</v>
      </c>
      <c r="U1" s="6">
        <v>45677</v>
      </c>
      <c r="V1" s="6">
        <v>45678</v>
      </c>
      <c r="W1" s="6">
        <v>45679</v>
      </c>
      <c r="X1" s="6">
        <v>45680</v>
      </c>
      <c r="Y1" s="6">
        <v>45681</v>
      </c>
      <c r="Z1" s="11">
        <v>45682</v>
      </c>
      <c r="AA1" s="11">
        <v>45683</v>
      </c>
      <c r="AB1" s="25">
        <v>45684</v>
      </c>
      <c r="AC1" s="6">
        <v>45685</v>
      </c>
      <c r="AD1" s="6">
        <v>45686</v>
      </c>
      <c r="AE1" s="6">
        <v>45687</v>
      </c>
      <c r="AF1" s="6">
        <v>45688</v>
      </c>
    </row>
    <row r="2" spans="1:32" x14ac:dyDescent="0.3">
      <c r="A2" s="1" t="s">
        <v>0</v>
      </c>
      <c r="B2" s="12">
        <f>B4+B6+B8+B10+B12+B14+B16+B18+B20+B22+B24+B26+B28+B30+B32</f>
        <v>0</v>
      </c>
      <c r="C2" s="12">
        <f>C4+C6+C8+C10+C12+C14+C16+C18+C20+C22+C24+C26+C28+C30+C32</f>
        <v>0</v>
      </c>
      <c r="D2" s="12">
        <f t="shared" ref="D2:AF2" si="0">D4+D6+D8+D10+D12+D14+D16+D18+D20+D22+D24+D26+D28+D30+D32</f>
        <v>0</v>
      </c>
      <c r="E2" s="12">
        <f t="shared" si="0"/>
        <v>0</v>
      </c>
      <c r="F2" s="12">
        <f t="shared" si="0"/>
        <v>0</v>
      </c>
      <c r="G2" s="12">
        <f t="shared" si="0"/>
        <v>0</v>
      </c>
      <c r="H2" s="12">
        <f t="shared" si="0"/>
        <v>0</v>
      </c>
      <c r="I2" s="12">
        <f t="shared" si="0"/>
        <v>0</v>
      </c>
      <c r="J2" s="12">
        <f t="shared" si="0"/>
        <v>0</v>
      </c>
      <c r="K2" s="12">
        <f t="shared" si="0"/>
        <v>0</v>
      </c>
      <c r="L2" s="12">
        <f t="shared" si="0"/>
        <v>0</v>
      </c>
      <c r="M2" s="12">
        <f t="shared" si="0"/>
        <v>0</v>
      </c>
      <c r="N2" s="2">
        <f t="shared" si="0"/>
        <v>25</v>
      </c>
      <c r="O2" s="2">
        <f t="shared" si="0"/>
        <v>3.7</v>
      </c>
      <c r="P2" s="2">
        <f t="shared" si="0"/>
        <v>39.500000000000007</v>
      </c>
      <c r="Q2" s="2">
        <f t="shared" si="0"/>
        <v>38.799999999999997</v>
      </c>
      <c r="R2" s="2">
        <f t="shared" si="0"/>
        <v>39.700000000000003</v>
      </c>
      <c r="S2" s="12">
        <f>S4+S6+S8+S10+S12+S14+S16+S18+S20+S22+S24+S26+S28+S30+S32</f>
        <v>0</v>
      </c>
      <c r="T2" s="12">
        <f>T4+T6+T8+T10+T12+T14+T16+T18+T20+T22+T24+T26+T28+T30+T32</f>
        <v>0</v>
      </c>
      <c r="U2" s="2">
        <f t="shared" si="0"/>
        <v>40.6</v>
      </c>
      <c r="V2" s="2">
        <f t="shared" si="0"/>
        <v>35</v>
      </c>
      <c r="W2" s="2">
        <f t="shared" si="0"/>
        <v>40.000000000000007</v>
      </c>
      <c r="X2" s="2">
        <f t="shared" si="0"/>
        <v>28.37</v>
      </c>
      <c r="Y2" s="2">
        <f t="shared" si="0"/>
        <v>28.32</v>
      </c>
      <c r="Z2" s="12">
        <f t="shared" si="0"/>
        <v>0</v>
      </c>
      <c r="AA2" s="12">
        <f>AA4+AA6+AA8+AA10+AA12+AA14+AA16+AA18+AA20+AA22+AA24+AA26+AA28+AA30+AA32</f>
        <v>0</v>
      </c>
      <c r="AB2" s="26">
        <f>AB4+AB6+AB8+AB10+AB12+AB14+AB16+AB18+AB20+AB22+AB24+AB26+AB28+AB30+AB32</f>
        <v>0</v>
      </c>
      <c r="AC2" s="2">
        <f>AC4+AC6+AC8+AC10+AC12+AC14+AC16+AC18+AC20+AC22+AC24+AC26+AC28+AC30+AC32</f>
        <v>28.4</v>
      </c>
      <c r="AD2" s="2">
        <f t="shared" si="0"/>
        <v>28.400000000000002</v>
      </c>
      <c r="AE2" s="2">
        <f t="shared" si="0"/>
        <v>28.4</v>
      </c>
      <c r="AF2" s="2">
        <f t="shared" si="0"/>
        <v>37.599999999999994</v>
      </c>
    </row>
    <row r="3" spans="1:32" x14ac:dyDescent="0.3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1" t="s">
        <v>2</v>
      </c>
      <c r="P3" t="s">
        <v>3</v>
      </c>
      <c r="Q3" s="8" t="s">
        <v>4</v>
      </c>
      <c r="R3" s="8" t="s">
        <v>5</v>
      </c>
      <c r="S3" s="12"/>
      <c r="T3" s="12"/>
      <c r="U3" s="21" t="s">
        <v>2</v>
      </c>
      <c r="V3" t="s">
        <v>6</v>
      </c>
      <c r="W3" t="s">
        <v>7</v>
      </c>
      <c r="X3" s="19" t="s">
        <v>8</v>
      </c>
      <c r="Y3" t="s">
        <v>9</v>
      </c>
      <c r="Z3" s="13"/>
      <c r="AA3" s="13"/>
      <c r="AB3" s="27"/>
      <c r="AC3" s="17" t="s">
        <v>10</v>
      </c>
      <c r="AD3" t="s">
        <v>11</v>
      </c>
      <c r="AE3" s="59" t="s">
        <v>12</v>
      </c>
      <c r="AF3" s="59" t="s">
        <v>12</v>
      </c>
    </row>
    <row r="4" spans="1:32" x14ac:dyDescent="0.3">
      <c r="A4" s="4" t="s">
        <v>13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22">
        <v>20</v>
      </c>
      <c r="O4" s="5"/>
      <c r="P4" s="5">
        <v>2.6</v>
      </c>
      <c r="Q4" s="7">
        <v>5.6</v>
      </c>
      <c r="R4" s="7">
        <v>2.6</v>
      </c>
      <c r="S4" s="12"/>
      <c r="T4" s="12"/>
      <c r="U4" s="22">
        <v>20</v>
      </c>
      <c r="V4" s="5">
        <v>9.1999999999999993</v>
      </c>
      <c r="W4" s="5">
        <v>13.8</v>
      </c>
      <c r="X4" s="20">
        <v>1.2</v>
      </c>
      <c r="Y4" s="5">
        <v>2.6</v>
      </c>
      <c r="Z4" s="13"/>
      <c r="AA4" s="13"/>
      <c r="AB4" s="28"/>
      <c r="AC4" s="18">
        <v>3.4</v>
      </c>
      <c r="AD4" s="5">
        <v>10.4</v>
      </c>
      <c r="AE4" s="61">
        <v>28.4</v>
      </c>
      <c r="AF4" s="60">
        <v>28.4</v>
      </c>
    </row>
    <row r="5" spans="1:32" x14ac:dyDescent="0.3">
      <c r="A5" s="3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23" t="s">
        <v>14</v>
      </c>
      <c r="O5" t="s">
        <v>15</v>
      </c>
      <c r="P5" s="17" t="s">
        <v>16</v>
      </c>
      <c r="Q5" s="8" t="s">
        <v>17</v>
      </c>
      <c r="R5" s="8" t="s">
        <v>18</v>
      </c>
      <c r="S5" s="12"/>
      <c r="T5" s="12"/>
      <c r="U5" s="23" t="s">
        <v>14</v>
      </c>
      <c r="V5" t="s">
        <v>19</v>
      </c>
      <c r="W5" t="s">
        <v>20</v>
      </c>
      <c r="X5" s="8" t="s">
        <v>21</v>
      </c>
      <c r="Y5" t="s">
        <v>22</v>
      </c>
      <c r="Z5" s="13"/>
      <c r="AA5" s="13"/>
      <c r="AB5" s="27"/>
      <c r="AC5" s="21" t="s">
        <v>2</v>
      </c>
      <c r="AD5" s="59" t="s">
        <v>12</v>
      </c>
      <c r="AF5" s="8" t="s">
        <v>23</v>
      </c>
    </row>
    <row r="6" spans="1:32" x14ac:dyDescent="0.3">
      <c r="A6" s="4" t="s">
        <v>13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24">
        <v>5</v>
      </c>
      <c r="O6" s="5">
        <v>3.7</v>
      </c>
      <c r="P6" s="18">
        <v>1.2</v>
      </c>
      <c r="Q6" s="7">
        <v>5.2</v>
      </c>
      <c r="R6" s="7">
        <v>4.9000000000000004</v>
      </c>
      <c r="S6" s="12"/>
      <c r="T6" s="12"/>
      <c r="U6" s="24">
        <v>5</v>
      </c>
      <c r="V6" s="5">
        <v>12.9</v>
      </c>
      <c r="W6" s="5">
        <v>13.8</v>
      </c>
      <c r="X6" s="7">
        <v>2.77</v>
      </c>
      <c r="Y6" s="5">
        <v>2.6</v>
      </c>
      <c r="Z6" s="13"/>
      <c r="AA6" s="13"/>
      <c r="AB6" s="28"/>
      <c r="AC6" s="22">
        <v>20</v>
      </c>
      <c r="AD6" s="61">
        <v>11.7</v>
      </c>
      <c r="AE6" s="5"/>
      <c r="AF6" s="7">
        <v>9.1999999999999993</v>
      </c>
    </row>
    <row r="7" spans="1:32" x14ac:dyDescent="0.3">
      <c r="A7" s="3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P7" t="s">
        <v>24</v>
      </c>
      <c r="Q7" s="8" t="s">
        <v>25</v>
      </c>
      <c r="R7" s="8" t="s">
        <v>26</v>
      </c>
      <c r="S7" s="12"/>
      <c r="T7" s="12"/>
      <c r="U7" s="50" t="s">
        <v>27</v>
      </c>
      <c r="V7" t="s">
        <v>28</v>
      </c>
      <c r="W7" t="s">
        <v>29</v>
      </c>
      <c r="X7" s="8" t="s">
        <v>30</v>
      </c>
      <c r="Y7" s="8" t="s">
        <v>31</v>
      </c>
      <c r="Z7" s="13"/>
      <c r="AA7" s="13"/>
      <c r="AB7" s="27"/>
      <c r="AC7" s="23" t="s">
        <v>14</v>
      </c>
      <c r="AD7" s="17" t="s">
        <v>10</v>
      </c>
      <c r="AF7" s="8"/>
    </row>
    <row r="8" spans="1:32" x14ac:dyDescent="0.3">
      <c r="A8" s="4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5"/>
      <c r="O8" s="5"/>
      <c r="P8" s="5">
        <v>4.2</v>
      </c>
      <c r="Q8" s="7">
        <v>6.2</v>
      </c>
      <c r="R8" s="7">
        <v>2.6</v>
      </c>
      <c r="S8" s="12"/>
      <c r="T8" s="12"/>
      <c r="U8" s="7">
        <v>15.6</v>
      </c>
      <c r="V8" s="5">
        <v>12.9</v>
      </c>
      <c r="W8" s="5">
        <v>7.6</v>
      </c>
      <c r="X8" s="7">
        <v>2.2999999999999998</v>
      </c>
      <c r="Y8" s="7">
        <v>6</v>
      </c>
      <c r="Z8" s="13"/>
      <c r="AA8" s="13"/>
      <c r="AB8" s="28"/>
      <c r="AC8" s="24">
        <v>5</v>
      </c>
      <c r="AD8" s="18">
        <v>6.3</v>
      </c>
      <c r="AE8" s="5"/>
      <c r="AF8" s="7"/>
    </row>
    <row r="9" spans="1:32" x14ac:dyDescent="0.3">
      <c r="A9" s="3" t="s">
        <v>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P9" t="s">
        <v>32</v>
      </c>
      <c r="Q9" s="8" t="s">
        <v>33</v>
      </c>
      <c r="R9" s="8" t="s">
        <v>34</v>
      </c>
      <c r="S9" s="12"/>
      <c r="T9" s="12"/>
      <c r="U9" s="8"/>
      <c r="W9" t="s">
        <v>35</v>
      </c>
      <c r="X9" s="8" t="s">
        <v>36</v>
      </c>
      <c r="Y9" s="19" t="s">
        <v>37</v>
      </c>
      <c r="Z9" s="13"/>
      <c r="AA9" s="13"/>
      <c r="AB9" s="27"/>
      <c r="AF9" s="8"/>
    </row>
    <row r="10" spans="1:32" x14ac:dyDescent="0.3">
      <c r="A10" s="4" t="s">
        <v>13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"/>
      <c r="O10" s="5"/>
      <c r="P10" s="5">
        <v>7</v>
      </c>
      <c r="Q10" s="7">
        <v>3.2</v>
      </c>
      <c r="R10" s="7">
        <v>2.6</v>
      </c>
      <c r="S10" s="12"/>
      <c r="T10" s="12"/>
      <c r="U10" s="7"/>
      <c r="V10" s="5"/>
      <c r="W10" s="5">
        <v>3.2</v>
      </c>
      <c r="X10" s="7">
        <v>2.4</v>
      </c>
      <c r="Y10" s="20">
        <v>1.3</v>
      </c>
      <c r="Z10" s="13"/>
      <c r="AA10" s="13"/>
      <c r="AB10" s="28"/>
      <c r="AC10" s="5"/>
      <c r="AD10" s="5"/>
      <c r="AE10" s="5"/>
      <c r="AF10" s="7"/>
    </row>
    <row r="11" spans="1:32" x14ac:dyDescent="0.3">
      <c r="A11" s="3" t="s">
        <v>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P11" t="s">
        <v>38</v>
      </c>
      <c r="Q11" s="8" t="s">
        <v>39</v>
      </c>
      <c r="R11" s="8" t="s">
        <v>40</v>
      </c>
      <c r="S11" s="12"/>
      <c r="T11" s="12"/>
      <c r="U11" s="8"/>
      <c r="W11" t="s">
        <v>41</v>
      </c>
      <c r="X11" s="8" t="s">
        <v>42</v>
      </c>
      <c r="Y11" s="8" t="s">
        <v>43</v>
      </c>
      <c r="Z11" s="13"/>
      <c r="AA11" s="13"/>
      <c r="AB11" s="27"/>
      <c r="AF11" s="8"/>
    </row>
    <row r="12" spans="1:32" x14ac:dyDescent="0.3">
      <c r="A12" s="4" t="s">
        <v>13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5"/>
      <c r="O12" s="5"/>
      <c r="P12" s="5">
        <v>4.3</v>
      </c>
      <c r="Q12" s="7">
        <v>3</v>
      </c>
      <c r="R12" s="7">
        <v>2.6</v>
      </c>
      <c r="S12" s="12"/>
      <c r="T12" s="12"/>
      <c r="U12" s="7"/>
      <c r="V12" s="5"/>
      <c r="W12" s="5">
        <v>1.6</v>
      </c>
      <c r="X12" s="7">
        <v>18</v>
      </c>
      <c r="Y12" s="7">
        <v>3.12</v>
      </c>
      <c r="Z12" s="13"/>
      <c r="AA12" s="13"/>
      <c r="AB12" s="28"/>
      <c r="AC12" s="5"/>
      <c r="AD12" s="5"/>
      <c r="AE12" s="5"/>
      <c r="AF12" s="7"/>
    </row>
    <row r="13" spans="1:32" x14ac:dyDescent="0.3">
      <c r="A13" s="3" t="s">
        <v>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P13" t="s">
        <v>44</v>
      </c>
      <c r="Q13" s="8" t="s">
        <v>45</v>
      </c>
      <c r="R13" s="8" t="s">
        <v>46</v>
      </c>
      <c r="S13" s="12"/>
      <c r="T13" s="12"/>
      <c r="U13" s="8"/>
      <c r="X13" s="8" t="s">
        <v>37</v>
      </c>
      <c r="Y13" s="8" t="s">
        <v>47</v>
      </c>
      <c r="Z13" s="13"/>
      <c r="AA13" s="13"/>
      <c r="AB13" s="27"/>
      <c r="AF13" s="8"/>
    </row>
    <row r="14" spans="1:32" x14ac:dyDescent="0.3">
      <c r="A14" s="4" t="s">
        <v>13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5"/>
      <c r="O14" s="5"/>
      <c r="P14" s="5">
        <v>4</v>
      </c>
      <c r="Q14" s="7">
        <v>1.7</v>
      </c>
      <c r="R14" s="7">
        <v>2.6</v>
      </c>
      <c r="S14" s="12"/>
      <c r="T14" s="12"/>
      <c r="U14" s="7"/>
      <c r="V14" s="5"/>
      <c r="W14" s="5"/>
      <c r="X14" s="7">
        <v>1.7</v>
      </c>
      <c r="Y14" s="7">
        <v>12.7</v>
      </c>
      <c r="Z14" s="13"/>
      <c r="AA14" s="13"/>
      <c r="AB14" s="28"/>
      <c r="AC14" s="5"/>
      <c r="AD14" s="5"/>
      <c r="AE14" s="5"/>
      <c r="AF14" s="7"/>
    </row>
    <row r="15" spans="1:32" x14ac:dyDescent="0.3">
      <c r="A15" s="3" t="s">
        <v>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P15" s="49" t="s">
        <v>48</v>
      </c>
      <c r="Q15" s="8" t="s">
        <v>49</v>
      </c>
      <c r="R15" s="8" t="s">
        <v>50</v>
      </c>
      <c r="S15" s="12"/>
      <c r="T15" s="12"/>
      <c r="U15" s="8"/>
      <c r="X15" s="8"/>
      <c r="Y15" s="8"/>
      <c r="Z15" s="13"/>
      <c r="AA15" s="13"/>
      <c r="AB15" s="27"/>
      <c r="AF15" s="8"/>
    </row>
    <row r="16" spans="1:32" x14ac:dyDescent="0.3">
      <c r="A16" s="4" t="s"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5"/>
      <c r="O16" s="5"/>
      <c r="P16" s="5">
        <v>2.6</v>
      </c>
      <c r="Q16" s="7">
        <v>5.2</v>
      </c>
      <c r="R16" s="7">
        <v>2.6</v>
      </c>
      <c r="S16" s="12"/>
      <c r="T16" s="12"/>
      <c r="U16" s="7"/>
      <c r="V16" s="5"/>
      <c r="W16" s="5"/>
      <c r="X16" s="7"/>
      <c r="Y16" s="7"/>
      <c r="Z16" s="13"/>
      <c r="AA16" s="13"/>
      <c r="AB16" s="28"/>
      <c r="AC16" s="5"/>
      <c r="AD16" s="5"/>
      <c r="AE16" s="5"/>
      <c r="AF16" s="7"/>
    </row>
    <row r="17" spans="1:32" x14ac:dyDescent="0.3">
      <c r="A17" s="3" t="s">
        <v>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P17" s="49" t="s">
        <v>51</v>
      </c>
      <c r="Q17" s="8" t="s">
        <v>52</v>
      </c>
      <c r="R17" s="8" t="s">
        <v>53</v>
      </c>
      <c r="S17" s="12"/>
      <c r="T17" s="12"/>
      <c r="U17" s="8"/>
      <c r="X17" s="8"/>
      <c r="Y17" s="8"/>
      <c r="Z17" s="13"/>
      <c r="AA17" s="13"/>
      <c r="AB17" s="27"/>
      <c r="AF17" s="8"/>
    </row>
    <row r="18" spans="1:32" x14ac:dyDescent="0.3">
      <c r="A18" s="4" t="s">
        <v>13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"/>
      <c r="O18" s="5"/>
      <c r="P18" s="5">
        <v>2.8</v>
      </c>
      <c r="Q18" s="7">
        <v>8.6999999999999993</v>
      </c>
      <c r="R18" s="7">
        <v>2.6</v>
      </c>
      <c r="S18" s="12"/>
      <c r="T18" s="12"/>
      <c r="U18" s="7"/>
      <c r="V18" s="5"/>
      <c r="W18" s="5"/>
      <c r="X18" s="7"/>
      <c r="Y18" s="7"/>
      <c r="Z18" s="13"/>
      <c r="AA18" s="13"/>
      <c r="AB18" s="28"/>
      <c r="AC18" s="5"/>
      <c r="AD18" s="5"/>
      <c r="AE18" s="5"/>
      <c r="AF18" s="7"/>
    </row>
    <row r="19" spans="1:32" x14ac:dyDescent="0.3">
      <c r="A19" s="3" t="s">
        <v>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P19" t="s">
        <v>54</v>
      </c>
      <c r="Q19" s="8"/>
      <c r="R19" s="50" t="s">
        <v>55</v>
      </c>
      <c r="S19" s="12"/>
      <c r="T19" s="12"/>
      <c r="U19" s="8"/>
      <c r="X19" s="8"/>
      <c r="Y19" s="8"/>
      <c r="Z19" s="13"/>
      <c r="AA19" s="13"/>
      <c r="AB19" s="27"/>
      <c r="AF19" s="8"/>
    </row>
    <row r="20" spans="1:32" x14ac:dyDescent="0.3">
      <c r="A20" s="4" t="s">
        <v>13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5"/>
      <c r="O20" s="5"/>
      <c r="P20" s="5">
        <v>5.6</v>
      </c>
      <c r="Q20" s="7"/>
      <c r="R20" s="7">
        <v>15.6</v>
      </c>
      <c r="S20" s="12"/>
      <c r="T20" s="12"/>
      <c r="U20" s="7"/>
      <c r="V20" s="5"/>
      <c r="W20" s="5"/>
      <c r="X20" s="7"/>
      <c r="Y20" s="7"/>
      <c r="Z20" s="13"/>
      <c r="AA20" s="13"/>
      <c r="AB20" s="28"/>
      <c r="AC20" s="5"/>
      <c r="AD20" s="5"/>
      <c r="AE20" s="5"/>
      <c r="AF20" s="7"/>
    </row>
    <row r="21" spans="1:32" x14ac:dyDescent="0.3">
      <c r="A21" s="3" t="s">
        <v>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P21" t="s">
        <v>56</v>
      </c>
      <c r="Q21" s="8"/>
      <c r="R21" s="8" t="s">
        <v>57</v>
      </c>
      <c r="S21" s="12"/>
      <c r="T21" s="12"/>
      <c r="U21" s="8"/>
      <c r="X21" s="8"/>
      <c r="Y21" s="8"/>
      <c r="Z21" s="13"/>
      <c r="AA21" s="13"/>
      <c r="AB21" s="27"/>
      <c r="AF21" s="8"/>
    </row>
    <row r="22" spans="1:32" x14ac:dyDescent="0.3">
      <c r="A22" s="4" t="s">
        <v>13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5"/>
      <c r="O22" s="5"/>
      <c r="P22" s="5">
        <v>2.6</v>
      </c>
      <c r="Q22" s="7"/>
      <c r="R22" s="7">
        <v>1</v>
      </c>
      <c r="S22" s="12"/>
      <c r="T22" s="12"/>
      <c r="U22" s="7"/>
      <c r="V22" s="5"/>
      <c r="W22" s="5"/>
      <c r="X22" s="7"/>
      <c r="Y22" s="7"/>
      <c r="Z22" s="13"/>
      <c r="AA22" s="13"/>
      <c r="AB22" s="28"/>
      <c r="AC22" s="5"/>
      <c r="AD22" s="5"/>
      <c r="AE22" s="5"/>
      <c r="AF22" s="7"/>
    </row>
    <row r="23" spans="1:32" x14ac:dyDescent="0.3">
      <c r="A23" s="3" t="s">
        <v>1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P23" t="s">
        <v>58</v>
      </c>
      <c r="Q23" s="8"/>
      <c r="R23" s="8"/>
      <c r="S23" s="12"/>
      <c r="T23" s="12"/>
      <c r="U23" s="8"/>
      <c r="X23" s="8"/>
      <c r="Y23" s="8"/>
      <c r="Z23" s="13"/>
      <c r="AA23" s="13"/>
      <c r="AB23" s="27"/>
      <c r="AF23" s="8"/>
    </row>
    <row r="24" spans="1:32" x14ac:dyDescent="0.3">
      <c r="A24" s="4" t="s">
        <v>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5"/>
      <c r="O24" s="5"/>
      <c r="P24" s="5">
        <v>2.6</v>
      </c>
      <c r="Q24" s="7"/>
      <c r="R24" s="7"/>
      <c r="S24" s="12"/>
      <c r="T24" s="12"/>
      <c r="U24" s="7"/>
      <c r="V24" s="5"/>
      <c r="W24" s="5"/>
      <c r="X24" s="7"/>
      <c r="Y24" s="7"/>
      <c r="Z24" s="13"/>
      <c r="AA24" s="13"/>
      <c r="AB24" s="28"/>
      <c r="AC24" s="5"/>
      <c r="AD24" s="5"/>
      <c r="AE24" s="5"/>
      <c r="AF24" s="7"/>
    </row>
    <row r="25" spans="1:32" x14ac:dyDescent="0.3">
      <c r="A25" s="3" t="s">
        <v>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Q25" s="8"/>
      <c r="R25" s="8"/>
      <c r="S25" s="12"/>
      <c r="T25" s="12"/>
      <c r="U25" s="8"/>
      <c r="X25" s="8"/>
      <c r="Y25" s="8"/>
      <c r="Z25" s="13"/>
      <c r="AA25" s="13"/>
      <c r="AB25" s="27"/>
      <c r="AF25" s="8"/>
    </row>
    <row r="26" spans="1:32" x14ac:dyDescent="0.3">
      <c r="A26" s="4" t="s">
        <v>13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5"/>
      <c r="O26" s="5"/>
      <c r="P26" s="5"/>
      <c r="Q26" s="7"/>
      <c r="R26" s="7"/>
      <c r="S26" s="12"/>
      <c r="T26" s="12"/>
      <c r="U26" s="7"/>
      <c r="V26" s="5"/>
      <c r="W26" s="5"/>
      <c r="X26" s="7"/>
      <c r="Y26" s="7"/>
      <c r="Z26" s="13"/>
      <c r="AA26" s="13"/>
      <c r="AB26" s="28"/>
      <c r="AC26" s="5"/>
      <c r="AD26" s="5"/>
      <c r="AE26" s="5"/>
      <c r="AF26" s="7"/>
    </row>
    <row r="27" spans="1:32" x14ac:dyDescent="0.3">
      <c r="A27" s="3" t="s">
        <v>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Q27" s="8"/>
      <c r="R27" s="8"/>
      <c r="S27" s="12"/>
      <c r="T27" s="12"/>
      <c r="U27" s="8"/>
      <c r="X27" s="8"/>
      <c r="Y27" s="8"/>
      <c r="Z27" s="13"/>
      <c r="AA27" s="13"/>
      <c r="AB27" s="27"/>
      <c r="AF27" s="8"/>
    </row>
    <row r="28" spans="1:32" x14ac:dyDescent="0.3">
      <c r="A28" s="4" t="s">
        <v>13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5"/>
      <c r="O28" s="5"/>
      <c r="P28" s="5"/>
      <c r="Q28" s="7"/>
      <c r="R28" s="7"/>
      <c r="S28" s="12"/>
      <c r="T28" s="12"/>
      <c r="U28" s="7"/>
      <c r="V28" s="5"/>
      <c r="W28" s="5"/>
      <c r="X28" s="7"/>
      <c r="Y28" s="7"/>
      <c r="Z28" s="13"/>
      <c r="AA28" s="13"/>
      <c r="AB28" s="28"/>
      <c r="AC28" s="5"/>
      <c r="AD28" s="5"/>
      <c r="AE28" s="5"/>
      <c r="AF28" s="7"/>
    </row>
    <row r="29" spans="1:32" x14ac:dyDescent="0.3">
      <c r="A29" s="3" t="s">
        <v>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Q29" s="8"/>
      <c r="R29" s="8"/>
      <c r="S29" s="12"/>
      <c r="T29" s="12"/>
      <c r="U29" s="8"/>
      <c r="X29" s="8"/>
      <c r="Y29" s="8"/>
      <c r="Z29" s="13"/>
      <c r="AA29" s="13"/>
      <c r="AB29" s="27"/>
      <c r="AF29" s="8"/>
    </row>
    <row r="30" spans="1:32" x14ac:dyDescent="0.3">
      <c r="A30" s="4" t="s">
        <v>13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5"/>
      <c r="O30" s="5"/>
      <c r="P30" s="5"/>
      <c r="Q30" s="7"/>
      <c r="R30" s="7"/>
      <c r="S30" s="12"/>
      <c r="T30" s="12"/>
      <c r="U30" s="7"/>
      <c r="V30" s="5"/>
      <c r="W30" s="5"/>
      <c r="X30" s="7"/>
      <c r="Y30" s="7"/>
      <c r="Z30" s="13"/>
      <c r="AA30" s="13"/>
      <c r="AB30" s="28"/>
      <c r="AC30" s="5"/>
      <c r="AD30" s="5"/>
      <c r="AE30" s="5"/>
      <c r="AF30" s="7"/>
    </row>
    <row r="31" spans="1:32" x14ac:dyDescent="0.3">
      <c r="A31" s="3" t="s">
        <v>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Q31" s="8"/>
      <c r="R31" s="8"/>
      <c r="S31" s="12"/>
      <c r="T31" s="12"/>
      <c r="U31" s="8"/>
      <c r="X31" s="8"/>
      <c r="Y31" s="8"/>
      <c r="Z31" s="13"/>
      <c r="AA31" s="13"/>
      <c r="AB31" s="27"/>
      <c r="AF31" s="8"/>
    </row>
    <row r="32" spans="1:32" x14ac:dyDescent="0.3">
      <c r="A32" s="4" t="s">
        <v>13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5"/>
      <c r="O32" s="5"/>
      <c r="P32" s="5"/>
      <c r="Q32" s="7"/>
      <c r="R32" s="7"/>
      <c r="S32" s="12"/>
      <c r="T32" s="12"/>
      <c r="U32" s="7"/>
      <c r="V32" s="5"/>
      <c r="W32" s="5"/>
      <c r="X32" s="7"/>
      <c r="Y32" s="7"/>
      <c r="Z32" s="13"/>
      <c r="AA32" s="13"/>
      <c r="AB32" s="28"/>
      <c r="AC32" s="5"/>
      <c r="AD32" s="5"/>
      <c r="AE32" s="5"/>
      <c r="AF32" s="7"/>
    </row>
    <row r="33" spans="1:32" x14ac:dyDescent="0.3">
      <c r="A33" s="9" t="s">
        <v>59</v>
      </c>
      <c r="B33" s="14">
        <f>40-B4-B6-B8-B10-B12-B14-B16-B18-B20-B22-B24-B26-B28-B30-B32</f>
        <v>40</v>
      </c>
      <c r="C33" s="14">
        <f t="shared" ref="C33:M33" si="1">40-C4-C6-C8-C10-C12-C14-C16-C18-C20-C22-C24-C26-C28-C30-C32</f>
        <v>40</v>
      </c>
      <c r="D33" s="14">
        <f t="shared" si="1"/>
        <v>40</v>
      </c>
      <c r="E33" s="14">
        <f t="shared" si="1"/>
        <v>40</v>
      </c>
      <c r="F33" s="14">
        <f t="shared" si="1"/>
        <v>40</v>
      </c>
      <c r="G33" s="14">
        <f t="shared" si="1"/>
        <v>40</v>
      </c>
      <c r="H33" s="14">
        <f t="shared" si="1"/>
        <v>40</v>
      </c>
      <c r="I33" s="14">
        <f t="shared" si="1"/>
        <v>40</v>
      </c>
      <c r="J33" s="14">
        <f t="shared" si="1"/>
        <v>40</v>
      </c>
      <c r="K33" s="14">
        <f t="shared" si="1"/>
        <v>40</v>
      </c>
      <c r="L33" s="14">
        <f t="shared" si="1"/>
        <v>40</v>
      </c>
      <c r="M33" s="14">
        <f t="shared" si="1"/>
        <v>40</v>
      </c>
      <c r="N33" s="10">
        <f>28.35-N4-N6-N8-N10-N12-N14-N16-N18-N20-N22-N24-N26-N28-N30-N32</f>
        <v>3.3500000000000014</v>
      </c>
      <c r="O33" s="10">
        <f t="shared" ref="O33:AF33" si="2">28.35-O4-O6-O8-O10-O12-O14-O16-O18-O20-O22-O24-O26-O28-O30-O32</f>
        <v>24.650000000000002</v>
      </c>
      <c r="P33" s="14">
        <f t="shared" si="2"/>
        <v>-11.149999999999999</v>
      </c>
      <c r="Q33" s="14">
        <f t="shared" si="2"/>
        <v>-10.449999999999998</v>
      </c>
      <c r="R33" s="14">
        <f t="shared" si="2"/>
        <v>-11.349999999999998</v>
      </c>
      <c r="S33" s="14">
        <f t="shared" si="2"/>
        <v>28.35</v>
      </c>
      <c r="T33" s="14">
        <f t="shared" si="2"/>
        <v>28.35</v>
      </c>
      <c r="U33" s="14">
        <f t="shared" si="2"/>
        <v>-12.249999999999998</v>
      </c>
      <c r="V33" s="14">
        <f t="shared" si="2"/>
        <v>-6.6499999999999986</v>
      </c>
      <c r="W33" s="14">
        <f t="shared" si="2"/>
        <v>-11.65</v>
      </c>
      <c r="X33" s="14">
        <f t="shared" si="2"/>
        <v>-1.9999999999996687E-2</v>
      </c>
      <c r="Y33" s="14">
        <f t="shared" si="2"/>
        <v>2.9999999999997584E-2</v>
      </c>
      <c r="Z33" s="14">
        <f t="shared" si="2"/>
        <v>28.35</v>
      </c>
      <c r="AA33" s="14">
        <f t="shared" si="2"/>
        <v>28.35</v>
      </c>
      <c r="AB33" s="62">
        <f t="shared" si="2"/>
        <v>28.35</v>
      </c>
      <c r="AC33" s="14">
        <f t="shared" si="2"/>
        <v>-4.9999999999997158E-2</v>
      </c>
      <c r="AD33" s="14">
        <f t="shared" si="2"/>
        <v>-4.999999999999627E-2</v>
      </c>
      <c r="AE33" s="14">
        <f t="shared" si="2"/>
        <v>-4.9999999999997158E-2</v>
      </c>
      <c r="AF33" s="66">
        <f t="shared" si="2"/>
        <v>-9.2499999999999964</v>
      </c>
    </row>
    <row r="35" spans="1:32" x14ac:dyDescent="0.3">
      <c r="AB35" t="s">
        <v>60</v>
      </c>
    </row>
    <row r="36" spans="1:32" x14ac:dyDescent="0.3">
      <c r="AB36" t="s">
        <v>61</v>
      </c>
    </row>
  </sheetData>
  <conditionalFormatting sqref="B2:AF2">
    <cfRule type="cellIs" dxfId="23" priority="1" operator="equal">
      <formula>40</formula>
    </cfRule>
    <cfRule type="cellIs" dxfId="22" priority="2" operator="greaterThan">
      <formula>40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6C66-C3B0-43A0-BD2B-56A29E66F813}">
  <dimension ref="A1:AC35"/>
  <sheetViews>
    <sheetView workbookViewId="0">
      <selection activeCell="V33" sqref="V33"/>
    </sheetView>
  </sheetViews>
  <sheetFormatPr defaultRowHeight="14.4" x14ac:dyDescent="0.3"/>
  <cols>
    <col min="1" max="1" width="16" bestFit="1" customWidth="1"/>
    <col min="27" max="28" width="9.44140625" bestFit="1" customWidth="1"/>
  </cols>
  <sheetData>
    <row r="1" spans="1:29" x14ac:dyDescent="0.3">
      <c r="A1" s="3"/>
      <c r="B1" s="11">
        <v>45689</v>
      </c>
      <c r="C1" s="11">
        <v>45690</v>
      </c>
      <c r="D1" s="6">
        <v>45691</v>
      </c>
      <c r="E1" s="6">
        <v>45692</v>
      </c>
      <c r="F1" s="6">
        <v>45693</v>
      </c>
      <c r="G1" s="51">
        <v>45694</v>
      </c>
      <c r="H1" s="6">
        <v>45695</v>
      </c>
      <c r="I1" s="11">
        <v>45696</v>
      </c>
      <c r="J1" s="11">
        <v>45697</v>
      </c>
      <c r="K1" s="6">
        <v>45698</v>
      </c>
      <c r="L1" s="6">
        <v>45699</v>
      </c>
      <c r="M1" s="6">
        <v>45700</v>
      </c>
      <c r="N1" s="6">
        <v>45701</v>
      </c>
      <c r="O1" s="6">
        <v>45702</v>
      </c>
      <c r="P1" s="11">
        <v>45703</v>
      </c>
      <c r="Q1" s="11">
        <v>45704</v>
      </c>
      <c r="R1" s="6">
        <v>45705</v>
      </c>
      <c r="S1" s="6">
        <v>45706</v>
      </c>
      <c r="T1" s="6">
        <v>45707</v>
      </c>
      <c r="U1" s="6">
        <v>45708</v>
      </c>
      <c r="V1" s="6">
        <v>45709</v>
      </c>
      <c r="W1" s="11">
        <v>45710</v>
      </c>
      <c r="X1" s="11">
        <v>45711</v>
      </c>
      <c r="Y1" s="6">
        <v>45712</v>
      </c>
      <c r="Z1" s="6">
        <v>45713</v>
      </c>
      <c r="AA1" s="6">
        <v>45714</v>
      </c>
      <c r="AB1" s="6">
        <v>45715</v>
      </c>
      <c r="AC1" s="6">
        <v>45716</v>
      </c>
    </row>
    <row r="2" spans="1:29" x14ac:dyDescent="0.3">
      <c r="A2" s="1" t="s">
        <v>0</v>
      </c>
      <c r="B2" s="12">
        <f>B4+B6+B8+B10+B12+B14+B16+B18+B20+B22+B24+B26+B28+B30+B32</f>
        <v>0</v>
      </c>
      <c r="C2" s="12">
        <f>C4+C6+C8+C10+C12+C14+C16+C18+C20+C22+C24+C26+C28+C30+C32</f>
        <v>0</v>
      </c>
      <c r="D2" s="2">
        <f t="shared" ref="D2:AC2" si="0">D4+D6+D8+D10+D12+D14+D16+D18+D20+D22+D24+D26+D28+D30+D32</f>
        <v>27</v>
      </c>
      <c r="E2" s="2">
        <f t="shared" si="0"/>
        <v>26.96</v>
      </c>
      <c r="F2" s="2">
        <f t="shared" si="0"/>
        <v>26.970000000000002</v>
      </c>
      <c r="G2" s="52">
        <f t="shared" si="0"/>
        <v>0</v>
      </c>
      <c r="H2" s="2">
        <f t="shared" si="0"/>
        <v>27</v>
      </c>
      <c r="I2" s="12">
        <f t="shared" si="0"/>
        <v>0</v>
      </c>
      <c r="J2" s="12">
        <f t="shared" si="0"/>
        <v>0</v>
      </c>
      <c r="K2" s="2">
        <f t="shared" si="0"/>
        <v>38</v>
      </c>
      <c r="L2" s="2">
        <f t="shared" si="0"/>
        <v>38</v>
      </c>
      <c r="M2" s="2">
        <f>M4+M6+M8+M10+M12+M14+M16+M18+M20+M22+M24+M26+M28+M30+M32</f>
        <v>38.020000000000003</v>
      </c>
      <c r="N2" s="2">
        <f>N4+N6+N8+N10+N12+N14+N16+N18+N20+N22+N24+N26+N28+N30+N32</f>
        <v>40.97</v>
      </c>
      <c r="O2" s="2">
        <f t="shared" si="0"/>
        <v>47.02</v>
      </c>
      <c r="P2" s="12">
        <f t="shared" si="0"/>
        <v>0</v>
      </c>
      <c r="Q2" s="12">
        <f t="shared" si="0"/>
        <v>0</v>
      </c>
      <c r="R2" s="2">
        <f t="shared" si="0"/>
        <v>34.4</v>
      </c>
      <c r="S2" s="2">
        <f>S4+S6+S8+S10+S12+S14+S16+S18+S20+S22+S24+S26+S28+S30+S32</f>
        <v>36.97</v>
      </c>
      <c r="T2" s="2">
        <f>T4+T6+T8+T10+T12+T14+T16+T18+T20+T22+T24+T26+T28+T30+T32</f>
        <v>37.200000000000003</v>
      </c>
      <c r="U2" s="2">
        <f t="shared" si="0"/>
        <v>36.300000000000004</v>
      </c>
      <c r="V2" s="2">
        <f t="shared" si="0"/>
        <v>28.699999999999996</v>
      </c>
      <c r="W2" s="12">
        <f t="shared" si="0"/>
        <v>0</v>
      </c>
      <c r="X2" s="12">
        <f t="shared" si="0"/>
        <v>0</v>
      </c>
      <c r="Y2" s="2">
        <f>Y4+Y6+Y8+Y10+Y12+Y14+Y16+Y18+Y20+Y22+Y24+Y26+Y28+Y30+Y32</f>
        <v>38.799999999999997</v>
      </c>
      <c r="Z2" s="2">
        <f t="shared" si="0"/>
        <v>32.300000000000004</v>
      </c>
      <c r="AA2" s="2">
        <f>AA4+AA6+AA8+AA10+AA12+AA14+AA16+AA18+AA20+AA22+AA24+AA26+AA28+AA30+AA32</f>
        <v>39.5</v>
      </c>
      <c r="AB2" s="2">
        <f t="shared" si="0"/>
        <v>38.899999999999991</v>
      </c>
      <c r="AC2" s="2">
        <f t="shared" si="0"/>
        <v>39.5</v>
      </c>
    </row>
    <row r="3" spans="1:29" x14ac:dyDescent="0.3">
      <c r="A3" s="3" t="s">
        <v>1</v>
      </c>
      <c r="B3" s="13"/>
      <c r="C3" s="13"/>
      <c r="D3" s="21" t="s">
        <v>2</v>
      </c>
      <c r="E3" t="s">
        <v>62</v>
      </c>
      <c r="F3" t="s">
        <v>63</v>
      </c>
      <c r="G3" s="53"/>
      <c r="H3" t="s">
        <v>64</v>
      </c>
      <c r="I3" s="13"/>
      <c r="J3" s="13"/>
      <c r="K3" s="21" t="s">
        <v>2</v>
      </c>
      <c r="L3" t="s">
        <v>65</v>
      </c>
      <c r="M3" t="s">
        <v>66</v>
      </c>
      <c r="N3" s="17" t="s">
        <v>67</v>
      </c>
      <c r="O3" s="17" t="s">
        <v>68</v>
      </c>
      <c r="P3" s="13"/>
      <c r="Q3" s="13"/>
      <c r="R3" s="21" t="s">
        <v>2</v>
      </c>
      <c r="S3" s="8" t="s">
        <v>69</v>
      </c>
      <c r="T3" s="19" t="s">
        <v>70</v>
      </c>
      <c r="U3" s="8" t="s">
        <v>71</v>
      </c>
      <c r="W3" s="13"/>
      <c r="X3" s="12"/>
      <c r="Y3" t="s">
        <v>72</v>
      </c>
      <c r="Z3" t="s">
        <v>73</v>
      </c>
      <c r="AA3" s="8" t="s">
        <v>74</v>
      </c>
      <c r="AB3" s="17" t="s">
        <v>75</v>
      </c>
      <c r="AC3" t="s">
        <v>76</v>
      </c>
    </row>
    <row r="4" spans="1:29" x14ac:dyDescent="0.3">
      <c r="A4" s="4" t="s">
        <v>13</v>
      </c>
      <c r="B4" s="13"/>
      <c r="C4" s="13"/>
      <c r="D4" s="22">
        <v>20</v>
      </c>
      <c r="E4" s="5">
        <v>5.2</v>
      </c>
      <c r="F4" s="5">
        <v>8.3000000000000007</v>
      </c>
      <c r="G4" s="53"/>
      <c r="H4" s="5">
        <v>5.6</v>
      </c>
      <c r="I4" s="13"/>
      <c r="J4" s="13"/>
      <c r="K4" s="22">
        <v>20</v>
      </c>
      <c r="L4" s="5">
        <v>5.5</v>
      </c>
      <c r="M4" s="5">
        <v>5.2</v>
      </c>
      <c r="N4" s="18">
        <v>2.5</v>
      </c>
      <c r="O4" s="18">
        <v>14.8</v>
      </c>
      <c r="P4" s="13"/>
      <c r="Q4" s="13"/>
      <c r="R4" s="22">
        <v>20</v>
      </c>
      <c r="S4" s="7">
        <v>2.77</v>
      </c>
      <c r="T4" s="20">
        <v>34.6</v>
      </c>
      <c r="U4" s="65">
        <v>2.6</v>
      </c>
      <c r="V4" s="5"/>
      <c r="W4" s="13"/>
      <c r="X4" s="12"/>
      <c r="Y4" s="7">
        <v>13.8</v>
      </c>
      <c r="Z4" s="63">
        <v>3.2</v>
      </c>
      <c r="AA4" s="5">
        <v>15</v>
      </c>
      <c r="AB4" s="18">
        <v>6.9</v>
      </c>
      <c r="AC4" s="5">
        <v>13</v>
      </c>
    </row>
    <row r="5" spans="1:29" x14ac:dyDescent="0.3">
      <c r="A5" s="3" t="s">
        <v>1</v>
      </c>
      <c r="B5" s="13"/>
      <c r="C5" s="13"/>
      <c r="D5" s="23" t="s">
        <v>14</v>
      </c>
      <c r="E5" t="s">
        <v>77</v>
      </c>
      <c r="F5" t="s">
        <v>78</v>
      </c>
      <c r="G5" s="53"/>
      <c r="H5" t="s">
        <v>79</v>
      </c>
      <c r="I5" s="13"/>
      <c r="J5" s="13"/>
      <c r="K5" s="23" t="s">
        <v>14</v>
      </c>
      <c r="L5" t="s">
        <v>80</v>
      </c>
      <c r="M5" t="s">
        <v>81</v>
      </c>
      <c r="N5" t="s">
        <v>82</v>
      </c>
      <c r="O5" s="8" t="s">
        <v>83</v>
      </c>
      <c r="P5" s="13"/>
      <c r="Q5" s="13"/>
      <c r="R5" s="23" t="s">
        <v>14</v>
      </c>
      <c r="S5" s="8" t="s">
        <v>84</v>
      </c>
      <c r="T5" t="s">
        <v>85</v>
      </c>
      <c r="U5" s="8" t="s">
        <v>86</v>
      </c>
      <c r="V5" s="8" t="s">
        <v>87</v>
      </c>
      <c r="W5" s="13"/>
      <c r="X5" s="12"/>
      <c r="Y5" s="21" t="s">
        <v>2</v>
      </c>
      <c r="Z5" t="s">
        <v>88</v>
      </c>
      <c r="AA5" s="17" t="s">
        <v>89</v>
      </c>
      <c r="AB5" t="s">
        <v>90</v>
      </c>
      <c r="AC5" t="s">
        <v>91</v>
      </c>
    </row>
    <row r="6" spans="1:29" x14ac:dyDescent="0.3">
      <c r="A6" s="4" t="s">
        <v>13</v>
      </c>
      <c r="B6" s="13"/>
      <c r="C6" s="13"/>
      <c r="D6" s="24">
        <v>5</v>
      </c>
      <c r="E6" s="5">
        <v>5.5</v>
      </c>
      <c r="F6" s="5">
        <v>2.77</v>
      </c>
      <c r="G6" s="53"/>
      <c r="H6" s="5">
        <v>21.4</v>
      </c>
      <c r="I6" s="13"/>
      <c r="J6" s="13"/>
      <c r="K6" s="24">
        <v>5</v>
      </c>
      <c r="L6" s="5">
        <v>5.5</v>
      </c>
      <c r="M6" s="5">
        <v>2.6</v>
      </c>
      <c r="N6" s="5">
        <v>8.32</v>
      </c>
      <c r="O6" s="5">
        <v>5.2</v>
      </c>
      <c r="P6" s="13"/>
      <c r="Q6" s="13"/>
      <c r="R6" s="24">
        <v>5</v>
      </c>
      <c r="S6" s="7">
        <v>8.1999999999999993</v>
      </c>
      <c r="T6" s="7">
        <v>2.6</v>
      </c>
      <c r="U6" s="7">
        <v>5.2</v>
      </c>
      <c r="V6" s="5">
        <v>16.399999999999999</v>
      </c>
      <c r="W6" s="13"/>
      <c r="X6" s="12"/>
      <c r="Y6" s="22">
        <v>20</v>
      </c>
      <c r="Z6" s="5">
        <v>5.5</v>
      </c>
      <c r="AA6" s="18">
        <v>9.4</v>
      </c>
      <c r="AB6" s="5">
        <v>18.399999999999999</v>
      </c>
      <c r="AC6" s="63">
        <v>11.2</v>
      </c>
    </row>
    <row r="7" spans="1:29" x14ac:dyDescent="0.3">
      <c r="A7" s="3" t="s">
        <v>1</v>
      </c>
      <c r="B7" s="13"/>
      <c r="C7" s="13"/>
      <c r="D7" t="s">
        <v>92</v>
      </c>
      <c r="E7" t="s">
        <v>93</v>
      </c>
      <c r="F7" t="s">
        <v>94</v>
      </c>
      <c r="G7" s="53"/>
      <c r="I7" s="13"/>
      <c r="J7" s="13"/>
      <c r="K7" s="17" t="s">
        <v>95</v>
      </c>
      <c r="L7" t="s">
        <v>96</v>
      </c>
      <c r="M7" s="64" t="s">
        <v>12</v>
      </c>
      <c r="N7" t="s">
        <v>97</v>
      </c>
      <c r="O7" s="8" t="s">
        <v>98</v>
      </c>
      <c r="P7" s="13"/>
      <c r="Q7" s="13"/>
      <c r="R7" s="8" t="s">
        <v>99</v>
      </c>
      <c r="S7" s="19" t="s">
        <v>70</v>
      </c>
      <c r="T7" s="8"/>
      <c r="U7" s="8" t="s">
        <v>100</v>
      </c>
      <c r="V7" t="s">
        <v>101</v>
      </c>
      <c r="W7" s="13"/>
      <c r="X7" s="12"/>
      <c r="Y7" s="23" t="s">
        <v>14</v>
      </c>
      <c r="Z7" t="s">
        <v>102</v>
      </c>
      <c r="AA7" t="s">
        <v>103</v>
      </c>
      <c r="AB7" t="s">
        <v>104</v>
      </c>
      <c r="AC7" t="s">
        <v>105</v>
      </c>
    </row>
    <row r="8" spans="1:29" x14ac:dyDescent="0.3">
      <c r="A8" s="4" t="s">
        <v>13</v>
      </c>
      <c r="B8" s="13"/>
      <c r="C8" s="13"/>
      <c r="D8" s="63">
        <v>2</v>
      </c>
      <c r="E8" s="5">
        <v>2.6</v>
      </c>
      <c r="F8" s="5">
        <v>4.3</v>
      </c>
      <c r="G8" s="53"/>
      <c r="H8" s="5"/>
      <c r="I8" s="13"/>
      <c r="J8" s="13"/>
      <c r="K8" s="18">
        <v>13</v>
      </c>
      <c r="L8" s="5">
        <v>5.5</v>
      </c>
      <c r="M8" s="61">
        <v>9.9</v>
      </c>
      <c r="N8" s="5">
        <v>21.5</v>
      </c>
      <c r="O8" s="5">
        <v>3.1</v>
      </c>
      <c r="P8" s="13"/>
      <c r="Q8" s="13"/>
      <c r="R8" s="7">
        <v>2</v>
      </c>
      <c r="S8" s="20">
        <v>26</v>
      </c>
      <c r="T8" s="7"/>
      <c r="U8" s="7">
        <v>5.5</v>
      </c>
      <c r="V8" s="5">
        <v>10.4</v>
      </c>
      <c r="W8" s="13"/>
      <c r="X8" s="12"/>
      <c r="Y8" s="24">
        <v>5</v>
      </c>
      <c r="Z8" s="5">
        <v>4.5999999999999996</v>
      </c>
      <c r="AA8" s="5">
        <v>15.1</v>
      </c>
      <c r="AB8" s="5">
        <v>2.6</v>
      </c>
      <c r="AC8" s="5">
        <v>15.3</v>
      </c>
    </row>
    <row r="9" spans="1:29" x14ac:dyDescent="0.3">
      <c r="A9" s="3" t="s">
        <v>1</v>
      </c>
      <c r="B9" s="13"/>
      <c r="C9" s="13"/>
      <c r="E9" t="s">
        <v>106</v>
      </c>
      <c r="F9" s="17" t="s">
        <v>107</v>
      </c>
      <c r="G9" s="53"/>
      <c r="I9" s="13"/>
      <c r="J9" s="13"/>
      <c r="L9" s="17" t="s">
        <v>95</v>
      </c>
      <c r="M9" t="s">
        <v>108</v>
      </c>
      <c r="O9" s="8" t="s">
        <v>109</v>
      </c>
      <c r="P9" s="13"/>
      <c r="Q9" s="13"/>
      <c r="R9" s="8" t="s">
        <v>110</v>
      </c>
      <c r="T9" s="8"/>
      <c r="U9" s="8" t="s">
        <v>111</v>
      </c>
      <c r="V9" t="s">
        <v>112</v>
      </c>
      <c r="W9" s="13"/>
      <c r="X9" s="12"/>
      <c r="Z9" t="s">
        <v>113</v>
      </c>
      <c r="AB9" t="s">
        <v>114</v>
      </c>
    </row>
    <row r="10" spans="1:29" x14ac:dyDescent="0.3">
      <c r="A10" s="4" t="s">
        <v>13</v>
      </c>
      <c r="B10" s="13"/>
      <c r="C10" s="13"/>
      <c r="D10" s="5"/>
      <c r="E10" s="5">
        <v>3.2</v>
      </c>
      <c r="F10" s="18">
        <v>3.1</v>
      </c>
      <c r="G10" s="53"/>
      <c r="H10" s="5"/>
      <c r="I10" s="13"/>
      <c r="J10" s="13"/>
      <c r="K10" s="5"/>
      <c r="L10" s="18">
        <v>0.6</v>
      </c>
      <c r="M10" s="5">
        <v>3.12</v>
      </c>
      <c r="N10" s="5"/>
      <c r="O10" s="5">
        <v>3.12</v>
      </c>
      <c r="P10" s="13"/>
      <c r="Q10" s="13"/>
      <c r="R10" s="7">
        <v>7.4</v>
      </c>
      <c r="S10" s="7"/>
      <c r="T10" s="7"/>
      <c r="U10" s="7">
        <v>5.5</v>
      </c>
      <c r="V10" s="5">
        <v>1.9</v>
      </c>
      <c r="W10" s="13"/>
      <c r="X10" s="12"/>
      <c r="Y10" s="7"/>
      <c r="Z10" s="63">
        <v>6.7</v>
      </c>
      <c r="AA10" s="5"/>
      <c r="AB10" s="5">
        <v>4.8</v>
      </c>
      <c r="AC10" s="5"/>
    </row>
    <row r="11" spans="1:29" x14ac:dyDescent="0.3">
      <c r="A11" s="3" t="s">
        <v>1</v>
      </c>
      <c r="B11" s="13"/>
      <c r="C11" s="13"/>
      <c r="E11" t="s">
        <v>115</v>
      </c>
      <c r="F11" s="64" t="s">
        <v>12</v>
      </c>
      <c r="G11" s="53"/>
      <c r="I11" s="13"/>
      <c r="J11" s="13"/>
      <c r="L11" s="8"/>
      <c r="M11" t="s">
        <v>116</v>
      </c>
      <c r="N11" t="s">
        <v>117</v>
      </c>
      <c r="O11" t="s">
        <v>118</v>
      </c>
      <c r="P11" s="13"/>
      <c r="Q11" s="13"/>
      <c r="R11" s="8"/>
      <c r="T11" s="8"/>
      <c r="U11" t="s">
        <v>119</v>
      </c>
      <c r="W11" s="13"/>
      <c r="X11" s="12"/>
      <c r="Z11" t="s">
        <v>120</v>
      </c>
      <c r="AB11" t="s">
        <v>121</v>
      </c>
    </row>
    <row r="12" spans="1:29" x14ac:dyDescent="0.3">
      <c r="A12" s="4" t="s">
        <v>13</v>
      </c>
      <c r="B12" s="13"/>
      <c r="C12" s="13"/>
      <c r="D12" s="5"/>
      <c r="E12" s="5">
        <v>2.6</v>
      </c>
      <c r="F12" s="61">
        <v>8.5</v>
      </c>
      <c r="G12" s="53"/>
      <c r="H12" s="5"/>
      <c r="I12" s="13"/>
      <c r="J12" s="13"/>
      <c r="K12" s="5"/>
      <c r="L12" s="5"/>
      <c r="M12" s="5">
        <v>2.8</v>
      </c>
      <c r="N12" s="5">
        <v>2.2999999999999998</v>
      </c>
      <c r="O12" s="5">
        <v>2.6</v>
      </c>
      <c r="P12" s="13"/>
      <c r="Q12" s="13"/>
      <c r="R12" s="7"/>
      <c r="S12" s="7"/>
      <c r="T12" s="7"/>
      <c r="U12" s="7">
        <v>5.5</v>
      </c>
      <c r="V12" s="5"/>
      <c r="W12" s="13"/>
      <c r="X12" s="12"/>
      <c r="Y12" s="7"/>
      <c r="Z12" s="5">
        <v>2.8</v>
      </c>
      <c r="AA12" s="5"/>
      <c r="AB12" s="5">
        <v>2.4</v>
      </c>
      <c r="AC12" s="5"/>
    </row>
    <row r="13" spans="1:29" x14ac:dyDescent="0.3">
      <c r="A13" s="3" t="s">
        <v>1</v>
      </c>
      <c r="B13" s="13"/>
      <c r="C13" s="13"/>
      <c r="E13" t="s">
        <v>122</v>
      </c>
      <c r="G13" s="53"/>
      <c r="I13" s="13"/>
      <c r="J13" s="13"/>
      <c r="L13" s="64" t="s">
        <v>12</v>
      </c>
      <c r="M13" t="s">
        <v>100</v>
      </c>
      <c r="N13" t="s">
        <v>123</v>
      </c>
      <c r="O13" t="s">
        <v>124</v>
      </c>
      <c r="P13" s="13"/>
      <c r="Q13" s="13"/>
      <c r="R13" s="8"/>
      <c r="T13" s="8"/>
      <c r="U13" t="s">
        <v>125</v>
      </c>
      <c r="W13" s="13"/>
      <c r="X13" s="12"/>
      <c r="Y13" s="8"/>
      <c r="Z13" s="17" t="s">
        <v>126</v>
      </c>
      <c r="AB13" t="s">
        <v>127</v>
      </c>
    </row>
    <row r="14" spans="1:29" x14ac:dyDescent="0.3">
      <c r="A14" s="4" t="s">
        <v>13</v>
      </c>
      <c r="B14" s="13"/>
      <c r="C14" s="13"/>
      <c r="D14" s="5"/>
      <c r="E14" s="5">
        <v>3.46</v>
      </c>
      <c r="F14" s="5"/>
      <c r="G14" s="53"/>
      <c r="H14" s="5"/>
      <c r="I14" s="13"/>
      <c r="J14" s="13"/>
      <c r="K14" s="5"/>
      <c r="L14" s="61">
        <v>17.2</v>
      </c>
      <c r="M14" s="5">
        <v>5.6</v>
      </c>
      <c r="N14" s="5">
        <v>3.35</v>
      </c>
      <c r="O14" s="5">
        <v>2.6</v>
      </c>
      <c r="P14" s="13"/>
      <c r="Q14" s="13"/>
      <c r="R14" s="7"/>
      <c r="S14" s="7"/>
      <c r="T14" s="7"/>
      <c r="U14" s="7">
        <v>6.4</v>
      </c>
      <c r="V14" s="5"/>
      <c r="W14" s="13"/>
      <c r="X14" s="12"/>
      <c r="Y14" s="7"/>
      <c r="Z14" s="18">
        <v>3.3</v>
      </c>
      <c r="AA14" s="5"/>
      <c r="AB14" s="5">
        <v>3.8</v>
      </c>
      <c r="AC14" s="5"/>
    </row>
    <row r="15" spans="1:29" x14ac:dyDescent="0.3">
      <c r="A15" s="3" t="s">
        <v>1</v>
      </c>
      <c r="B15" s="13"/>
      <c r="C15" s="13"/>
      <c r="E15" t="s">
        <v>128</v>
      </c>
      <c r="G15" s="53"/>
      <c r="I15" s="13"/>
      <c r="J15" s="13"/>
      <c r="L15" t="s">
        <v>129</v>
      </c>
      <c r="M15" t="s">
        <v>130</v>
      </c>
      <c r="N15" t="s">
        <v>131</v>
      </c>
      <c r="O15" t="s">
        <v>132</v>
      </c>
      <c r="P15" s="13"/>
      <c r="Q15" s="13"/>
      <c r="R15" s="8"/>
      <c r="T15" s="8"/>
      <c r="U15" t="s">
        <v>133</v>
      </c>
      <c r="W15" s="13"/>
      <c r="X15" s="12"/>
      <c r="Y15" s="8"/>
      <c r="Z15" t="s">
        <v>134</v>
      </c>
    </row>
    <row r="16" spans="1:29" x14ac:dyDescent="0.3">
      <c r="A16" s="4" t="s">
        <v>13</v>
      </c>
      <c r="B16" s="13"/>
      <c r="C16" s="13"/>
      <c r="D16" s="5"/>
      <c r="E16" s="5">
        <v>4.4000000000000004</v>
      </c>
      <c r="F16" s="5"/>
      <c r="G16" s="53"/>
      <c r="H16" s="5"/>
      <c r="I16" s="13"/>
      <c r="J16" s="13"/>
      <c r="K16" s="5"/>
      <c r="L16" s="5">
        <v>3.7</v>
      </c>
      <c r="M16" s="5">
        <v>2.4</v>
      </c>
      <c r="N16" s="5">
        <v>3</v>
      </c>
      <c r="O16" s="5">
        <v>2.6</v>
      </c>
      <c r="P16" s="13"/>
      <c r="Q16" s="13"/>
      <c r="R16" s="7"/>
      <c r="S16" s="7"/>
      <c r="T16" s="7"/>
      <c r="U16" s="7">
        <v>5.6</v>
      </c>
      <c r="V16" s="5"/>
      <c r="W16" s="13"/>
      <c r="X16" s="12"/>
      <c r="Y16" s="7"/>
      <c r="Z16" s="5">
        <v>6.2</v>
      </c>
      <c r="AA16" s="5"/>
      <c r="AB16" s="5"/>
      <c r="AC16" s="5"/>
    </row>
    <row r="17" spans="1:29" x14ac:dyDescent="0.3">
      <c r="A17" s="3" t="s">
        <v>1</v>
      </c>
      <c r="B17" s="13"/>
      <c r="C17" s="13"/>
      <c r="G17" s="53"/>
      <c r="I17" s="13"/>
      <c r="J17" s="13"/>
      <c r="M17" t="s">
        <v>135</v>
      </c>
      <c r="N17" s="8"/>
      <c r="O17" t="s">
        <v>48</v>
      </c>
      <c r="P17" s="13"/>
      <c r="Q17" s="13"/>
      <c r="R17" s="8"/>
      <c r="S17" s="8"/>
      <c r="T17" s="8"/>
      <c r="U17" s="8"/>
      <c r="W17" s="13"/>
      <c r="X17" s="12"/>
      <c r="Y17" s="8"/>
    </row>
    <row r="18" spans="1:29" x14ac:dyDescent="0.3">
      <c r="A18" s="4" t="s">
        <v>13</v>
      </c>
      <c r="B18" s="13"/>
      <c r="C18" s="13"/>
      <c r="D18" s="5"/>
      <c r="E18" s="5"/>
      <c r="F18" s="5"/>
      <c r="G18" s="53"/>
      <c r="H18" s="5"/>
      <c r="I18" s="13"/>
      <c r="J18" s="13"/>
      <c r="K18" s="5"/>
      <c r="L18" s="5"/>
      <c r="M18" s="5">
        <v>4.5999999999999996</v>
      </c>
      <c r="N18" s="63"/>
      <c r="O18" s="5">
        <v>2.6</v>
      </c>
      <c r="P18" s="13"/>
      <c r="Q18" s="13"/>
      <c r="R18" s="7"/>
      <c r="S18" s="65"/>
      <c r="T18" s="7"/>
      <c r="U18" s="7"/>
      <c r="V18" s="5"/>
      <c r="W18" s="13"/>
      <c r="X18" s="12"/>
      <c r="Y18" s="7"/>
      <c r="Z18" s="5"/>
      <c r="AA18" s="5"/>
      <c r="AB18" s="5"/>
      <c r="AC18" s="5"/>
    </row>
    <row r="19" spans="1:29" x14ac:dyDescent="0.3">
      <c r="A19" s="3" t="s">
        <v>1</v>
      </c>
      <c r="B19" s="13"/>
      <c r="C19" s="13"/>
      <c r="G19" s="53"/>
      <c r="I19" s="13"/>
      <c r="J19" s="13"/>
      <c r="M19" t="s">
        <v>136</v>
      </c>
      <c r="O19" t="s">
        <v>137</v>
      </c>
      <c r="P19" s="13"/>
      <c r="Q19" s="13"/>
      <c r="R19" s="8"/>
      <c r="S19" s="8"/>
      <c r="T19" s="8"/>
      <c r="U19" s="8"/>
      <c r="W19" s="13"/>
      <c r="X19" s="12"/>
      <c r="Y19" s="8"/>
    </row>
    <row r="20" spans="1:29" x14ac:dyDescent="0.3">
      <c r="A20" s="4" t="s">
        <v>13</v>
      </c>
      <c r="B20" s="13"/>
      <c r="C20" s="13"/>
      <c r="D20" s="5"/>
      <c r="E20" s="5"/>
      <c r="F20" s="5"/>
      <c r="G20" s="53"/>
      <c r="H20" s="5"/>
      <c r="I20" s="13"/>
      <c r="J20" s="13"/>
      <c r="K20" s="5"/>
      <c r="L20" s="5"/>
      <c r="M20" s="5">
        <v>1.8</v>
      </c>
      <c r="N20" s="5"/>
      <c r="O20" s="5">
        <v>10.4</v>
      </c>
      <c r="P20" s="13"/>
      <c r="Q20" s="13"/>
      <c r="R20" s="7"/>
      <c r="S20" s="7"/>
      <c r="T20" s="7"/>
      <c r="U20" s="7"/>
      <c r="V20" s="5"/>
      <c r="W20" s="13"/>
      <c r="X20" s="12"/>
      <c r="Y20" s="7"/>
      <c r="Z20" s="5"/>
      <c r="AA20" s="5"/>
      <c r="AB20" s="5"/>
      <c r="AC20" s="5"/>
    </row>
    <row r="21" spans="1:29" x14ac:dyDescent="0.3">
      <c r="A21" s="3" t="s">
        <v>1</v>
      </c>
      <c r="B21" s="13"/>
      <c r="C21" s="13"/>
      <c r="G21" s="53"/>
      <c r="I21" s="13"/>
      <c r="J21" s="13"/>
      <c r="P21" s="13"/>
      <c r="Q21" s="13"/>
      <c r="R21" s="8"/>
      <c r="S21" s="8"/>
      <c r="T21" s="8"/>
      <c r="U21" s="8"/>
      <c r="W21" s="13"/>
      <c r="X21" s="12"/>
      <c r="Y21" s="8"/>
    </row>
    <row r="22" spans="1:29" x14ac:dyDescent="0.3">
      <c r="A22" s="4" t="s">
        <v>13</v>
      </c>
      <c r="B22" s="13"/>
      <c r="C22" s="13"/>
      <c r="D22" s="5"/>
      <c r="E22" s="5"/>
      <c r="F22" s="5"/>
      <c r="G22" s="53"/>
      <c r="H22" s="5"/>
      <c r="I22" s="13"/>
      <c r="J22" s="13"/>
      <c r="K22" s="5"/>
      <c r="L22" s="5"/>
      <c r="M22" s="5"/>
      <c r="N22" s="5"/>
      <c r="O22" s="5"/>
      <c r="P22" s="13"/>
      <c r="Q22" s="13"/>
      <c r="R22" s="7"/>
      <c r="S22" s="7"/>
      <c r="T22" s="7"/>
      <c r="U22" s="7"/>
      <c r="V22" s="5"/>
      <c r="W22" s="13"/>
      <c r="X22" s="12"/>
      <c r="Y22" s="7"/>
      <c r="Z22" s="5"/>
      <c r="AA22" s="5"/>
      <c r="AB22" s="5"/>
      <c r="AC22" s="5"/>
    </row>
    <row r="23" spans="1:29" x14ac:dyDescent="0.3">
      <c r="A23" s="3" t="s">
        <v>1</v>
      </c>
      <c r="B23" s="13"/>
      <c r="C23" s="13"/>
      <c r="G23" s="53"/>
      <c r="I23" s="13"/>
      <c r="J23" s="13"/>
      <c r="P23" s="13"/>
      <c r="Q23" s="13"/>
      <c r="R23" s="8"/>
      <c r="S23" s="8"/>
      <c r="T23" s="8"/>
      <c r="U23" s="8"/>
      <c r="W23" s="13"/>
      <c r="X23" s="12"/>
      <c r="Y23" s="8"/>
    </row>
    <row r="24" spans="1:29" x14ac:dyDescent="0.3">
      <c r="A24" s="4" t="s">
        <v>13</v>
      </c>
      <c r="B24" s="13"/>
      <c r="C24" s="13"/>
      <c r="D24" s="5"/>
      <c r="E24" s="5"/>
      <c r="F24" s="5"/>
      <c r="G24" s="53"/>
      <c r="H24" s="5"/>
      <c r="I24" s="13"/>
      <c r="J24" s="13"/>
      <c r="K24" s="5"/>
      <c r="L24" s="5"/>
      <c r="M24" s="5"/>
      <c r="N24" s="5"/>
      <c r="O24" s="5"/>
      <c r="P24" s="13"/>
      <c r="Q24" s="13"/>
      <c r="R24" s="7"/>
      <c r="S24" s="7"/>
      <c r="T24" s="7"/>
      <c r="U24" s="7"/>
      <c r="V24" s="5"/>
      <c r="W24" s="13"/>
      <c r="X24" s="12"/>
      <c r="Y24" s="7"/>
      <c r="Z24" s="5"/>
      <c r="AA24" s="5"/>
      <c r="AB24" s="5"/>
      <c r="AC24" s="5"/>
    </row>
    <row r="25" spans="1:29" x14ac:dyDescent="0.3">
      <c r="A25" s="3" t="s">
        <v>1</v>
      </c>
      <c r="B25" s="13"/>
      <c r="C25" s="13"/>
      <c r="G25" s="53"/>
      <c r="I25" s="13"/>
      <c r="J25" s="13"/>
      <c r="P25" s="13"/>
      <c r="Q25" s="13"/>
      <c r="R25" s="8"/>
      <c r="S25" s="8"/>
      <c r="T25" s="8"/>
      <c r="U25" s="8"/>
      <c r="W25" s="13"/>
      <c r="X25" s="12"/>
      <c r="Y25" s="8"/>
    </row>
    <row r="26" spans="1:29" x14ac:dyDescent="0.3">
      <c r="A26" s="4" t="s">
        <v>13</v>
      </c>
      <c r="B26" s="13"/>
      <c r="C26" s="13"/>
      <c r="D26" s="5"/>
      <c r="E26" s="5"/>
      <c r="F26" s="5"/>
      <c r="G26" s="53"/>
      <c r="H26" s="5"/>
      <c r="I26" s="13"/>
      <c r="J26" s="13"/>
      <c r="K26" s="5"/>
      <c r="L26" s="5"/>
      <c r="M26" s="5"/>
      <c r="N26" s="5"/>
      <c r="O26" s="5"/>
      <c r="P26" s="13"/>
      <c r="Q26" s="13"/>
      <c r="R26" s="7"/>
      <c r="S26" s="7"/>
      <c r="T26" s="7"/>
      <c r="U26" s="7"/>
      <c r="V26" s="5"/>
      <c r="W26" s="13"/>
      <c r="X26" s="12"/>
      <c r="Y26" s="7"/>
      <c r="Z26" s="5"/>
      <c r="AA26" s="5"/>
      <c r="AB26" s="5"/>
      <c r="AC26" s="5"/>
    </row>
    <row r="27" spans="1:29" x14ac:dyDescent="0.3">
      <c r="A27" s="3" t="s">
        <v>1</v>
      </c>
      <c r="B27" s="13"/>
      <c r="C27" s="13"/>
      <c r="G27" s="53"/>
      <c r="I27" s="13"/>
      <c r="J27" s="13"/>
      <c r="P27" s="13"/>
      <c r="Q27" s="13"/>
      <c r="R27" s="8"/>
      <c r="S27" s="8"/>
      <c r="T27" s="8"/>
      <c r="U27" s="8"/>
      <c r="W27" s="13"/>
      <c r="X27" s="12"/>
      <c r="Y27" s="8"/>
    </row>
    <row r="28" spans="1:29" x14ac:dyDescent="0.3">
      <c r="A28" s="4" t="s">
        <v>13</v>
      </c>
      <c r="B28" s="13"/>
      <c r="C28" s="13"/>
      <c r="D28" s="5"/>
      <c r="E28" s="5"/>
      <c r="F28" s="5"/>
      <c r="G28" s="53"/>
      <c r="H28" s="5"/>
      <c r="I28" s="13"/>
      <c r="J28" s="13"/>
      <c r="K28" s="5"/>
      <c r="L28" s="5"/>
      <c r="M28" s="5"/>
      <c r="N28" s="5"/>
      <c r="O28" s="5"/>
      <c r="P28" s="13"/>
      <c r="Q28" s="13"/>
      <c r="R28" s="7"/>
      <c r="S28" s="7"/>
      <c r="T28" s="7"/>
      <c r="U28" s="7"/>
      <c r="V28" s="5"/>
      <c r="W28" s="13"/>
      <c r="X28" s="12"/>
      <c r="Y28" s="7"/>
      <c r="Z28" s="5"/>
      <c r="AA28" s="5"/>
      <c r="AB28" s="5"/>
      <c r="AC28" s="5"/>
    </row>
    <row r="29" spans="1:29" x14ac:dyDescent="0.3">
      <c r="A29" s="3" t="s">
        <v>1</v>
      </c>
      <c r="B29" s="13"/>
      <c r="C29" s="13"/>
      <c r="G29" s="53"/>
      <c r="I29" s="13"/>
      <c r="J29" s="13"/>
      <c r="P29" s="13"/>
      <c r="Q29" s="13"/>
      <c r="R29" s="8"/>
      <c r="S29" s="8"/>
      <c r="T29" s="8"/>
      <c r="U29" s="8"/>
      <c r="W29" s="13"/>
      <c r="X29" s="12"/>
      <c r="Y29" s="8"/>
    </row>
    <row r="30" spans="1:29" x14ac:dyDescent="0.3">
      <c r="A30" s="4" t="s">
        <v>13</v>
      </c>
      <c r="B30" s="13"/>
      <c r="C30" s="13"/>
      <c r="D30" s="5"/>
      <c r="E30" s="5"/>
      <c r="F30" s="5"/>
      <c r="G30" s="53"/>
      <c r="H30" s="5"/>
      <c r="I30" s="13"/>
      <c r="J30" s="13"/>
      <c r="K30" s="5"/>
      <c r="L30" s="5"/>
      <c r="M30" s="5"/>
      <c r="N30" s="5"/>
      <c r="O30" s="5"/>
      <c r="P30" s="13"/>
      <c r="Q30" s="13"/>
      <c r="R30" s="7"/>
      <c r="S30" s="7"/>
      <c r="T30" s="7"/>
      <c r="U30" s="7"/>
      <c r="V30" s="5"/>
      <c r="W30" s="13"/>
      <c r="X30" s="12"/>
      <c r="Y30" s="7"/>
      <c r="Z30" s="5"/>
      <c r="AA30" s="5"/>
      <c r="AB30" s="5"/>
      <c r="AC30" s="5"/>
    </row>
    <row r="31" spans="1:29" x14ac:dyDescent="0.3">
      <c r="A31" s="3" t="s">
        <v>1</v>
      </c>
      <c r="B31" s="13"/>
      <c r="C31" s="13"/>
      <c r="G31" s="53"/>
      <c r="I31" s="13"/>
      <c r="J31" s="13"/>
      <c r="P31" s="13"/>
      <c r="Q31" s="13"/>
      <c r="R31" s="8"/>
      <c r="S31" s="8"/>
      <c r="T31" s="8"/>
      <c r="U31" s="8"/>
      <c r="W31" s="13"/>
      <c r="X31" s="12"/>
      <c r="Y31" s="8"/>
    </row>
    <row r="32" spans="1:29" x14ac:dyDescent="0.3">
      <c r="A32" s="4" t="s">
        <v>13</v>
      </c>
      <c r="B32" s="13"/>
      <c r="C32" s="13"/>
      <c r="D32" s="5"/>
      <c r="E32" s="5"/>
      <c r="F32" s="5"/>
      <c r="G32" s="53"/>
      <c r="H32" s="5"/>
      <c r="I32" s="13"/>
      <c r="J32" s="13"/>
      <c r="K32" s="5"/>
      <c r="L32" s="5"/>
      <c r="M32" s="5"/>
      <c r="N32" s="5"/>
      <c r="O32" s="5"/>
      <c r="P32" s="13"/>
      <c r="Q32" s="13"/>
      <c r="R32" s="7"/>
      <c r="S32" s="7"/>
      <c r="T32" s="7"/>
      <c r="U32" s="7"/>
      <c r="V32" s="5"/>
      <c r="W32" s="13"/>
      <c r="X32" s="12"/>
      <c r="Y32" s="7"/>
      <c r="Z32" s="5"/>
      <c r="AA32" s="5"/>
      <c r="AB32" s="5"/>
      <c r="AC32" s="5"/>
    </row>
    <row r="33" spans="1:29" x14ac:dyDescent="0.3">
      <c r="A33" s="9" t="s">
        <v>59</v>
      </c>
      <c r="B33" s="14">
        <f>40-B4-B6-B8-B10-B12-B14-B16-B18-B20-B22-B24-B26-B28-B30-B32</f>
        <v>40</v>
      </c>
      <c r="C33" s="14">
        <f t="shared" ref="C33:Q33" si="1">40-C4-C6-C8-C10-C12-C14-C16-C18-C20-C22-C24-C26-C28-C30-C32</f>
        <v>40</v>
      </c>
      <c r="D33" s="14">
        <f>27-D4-D6-D8-D10-D12-D14-D16-D18-D20-D22-D24-D26-D28-D30-D32</f>
        <v>0</v>
      </c>
      <c r="E33" s="14">
        <f t="shared" ref="E33:H33" si="2">27-E4-E6-E8-E10-E12-E14-E16-E18-E20-E22-E24-E26-E28-E30-E32</f>
        <v>4.0000000000000036E-2</v>
      </c>
      <c r="F33" s="14">
        <f t="shared" si="2"/>
        <v>2.9999999999999361E-2</v>
      </c>
      <c r="G33" s="58">
        <f t="shared" si="2"/>
        <v>27</v>
      </c>
      <c r="H33" s="14">
        <f t="shared" si="2"/>
        <v>0</v>
      </c>
      <c r="I33" s="14">
        <f t="shared" si="1"/>
        <v>40</v>
      </c>
      <c r="J33" s="14">
        <f t="shared" si="1"/>
        <v>40</v>
      </c>
      <c r="K33" s="14">
        <f>38-K4-K6-K8-K10-K12-K14-K16-K18-K20-K22-K24-K26-K28-K30-K32</f>
        <v>0</v>
      </c>
      <c r="L33" s="14">
        <f>38-L4-L6-L8-L10-L12-L14-L16-L18-L20-L22-L24-L26-L28-L30-L32</f>
        <v>-8.8817841970012523E-16</v>
      </c>
      <c r="M33" s="14">
        <f>38-M4-M6-M8-M10-M12-M14-M16-M18-M20-M22-M24-M26-M28-M30-M32</f>
        <v>-2.0000000000004237E-2</v>
      </c>
      <c r="N33" s="71">
        <f>38-N4-N6-N8-N10-N12-N14-N16-N18-N20-N22-N24-N26-N28-N30-N32</f>
        <v>-2.97</v>
      </c>
      <c r="O33" s="72">
        <f>38-O4-O6-O8-O10-O12-O14-O16-O18-O20-O22-O24-O26-O28-O30-O32</f>
        <v>-9.02</v>
      </c>
      <c r="P33" s="14">
        <f t="shared" si="1"/>
        <v>40</v>
      </c>
      <c r="Q33" s="14">
        <f t="shared" si="1"/>
        <v>40</v>
      </c>
      <c r="R33" s="10">
        <f>37-R4-R6-R8-R10-R12-R14-R16-R18-R20-R22-R24-R26-R28-R30-R32</f>
        <v>2.5999999999999996</v>
      </c>
      <c r="S33" s="14">
        <f>37-S4-S6-S8-S10-S12-S14-S16-S18-S20-S22-S24-S26-S28-S30-S32</f>
        <v>2.9999999999997584E-2</v>
      </c>
      <c r="T33" s="14">
        <f>37-T4-T6-T8-T10-T12-T14-T16-T18-T20-T22-T24-T26-T28-T30-T32</f>
        <v>-0.20000000000000151</v>
      </c>
      <c r="U33" s="14">
        <f>37-U4-U6-U8-U10-U12-U14-U16-U18-U20-U22-U24-U26-U28-U30-U32</f>
        <v>0.69999999999999929</v>
      </c>
      <c r="V33" s="10">
        <f>37-V4-V6-V8-V10-V12-V14-V16-V18-V20-V22-V24-V26-V28-V30-V32</f>
        <v>8.3000000000000007</v>
      </c>
      <c r="W33" s="14">
        <f t="shared" ref="W33" si="3">28.65-W4-W6-W8-W10-W12-W14-W16-W18-W20-W22-W24-W26-W28-W30-W32</f>
        <v>28.65</v>
      </c>
      <c r="X33" s="14">
        <f t="shared" ref="X33" si="4">28.65-X4-X6-X8-X10-X12-X14-X16-X18-X20-X22-X24-X26-X28-X30-X32</f>
        <v>28.65</v>
      </c>
      <c r="Y33" s="14">
        <f>39.5-Y4-Y6-Y8-Y10-Y12-Y14-Y16-Y18-Y20-Y22-Y24-Y26-Y28-Y30-Y32</f>
        <v>0.69999999999999929</v>
      </c>
      <c r="Z33" s="73">
        <f>39.5-Z4-Z6-Z8-Z10-Z12-Z14-Z16-Z18-Z20-Z22-Z24-Z26-Z28-Z30-Z32</f>
        <v>7.1999999999999948</v>
      </c>
      <c r="AA33" s="14">
        <f>39.5-AA4-AA6-AA8-AA10-AA12-AA14-AA16-AA18-AA20-AA22-AA24-AA26-AA28-AA30-AA32</f>
        <v>0</v>
      </c>
      <c r="AB33" s="14">
        <f>39.5-AB4-AB6-AB8-AB10-AB12-AB14-AB16-AB18-AB20-AB22-AB24-AB26-AB28-AB30-AB32</f>
        <v>0.60000000000000409</v>
      </c>
      <c r="AC33" s="14">
        <f>39.5-AC4-AC6-AC8-AC10-AC12-AC14-AC16-AC18-AC20-AC22-AC24-AC26-AC28-AC30-AC32</f>
        <v>0</v>
      </c>
    </row>
    <row r="35" spans="1:29" x14ac:dyDescent="0.3">
      <c r="G35" t="s">
        <v>138</v>
      </c>
    </row>
  </sheetData>
  <conditionalFormatting sqref="B2:AC2">
    <cfRule type="cellIs" dxfId="21" priority="1" operator="equal">
      <formula>40</formula>
    </cfRule>
    <cfRule type="cellIs" dxfId="20" priority="2" operator="greater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D660-6922-498F-AED6-BFAFE5524284}">
  <dimension ref="A1:AF34"/>
  <sheetViews>
    <sheetView workbookViewId="0">
      <selection activeCell="G50" sqref="G50"/>
    </sheetView>
  </sheetViews>
  <sheetFormatPr defaultRowHeight="14.4" x14ac:dyDescent="0.3"/>
  <cols>
    <col min="1" max="1" width="16" bestFit="1" customWidth="1"/>
    <col min="4" max="5" width="9.44140625" bestFit="1" customWidth="1"/>
    <col min="8" max="8" width="9.44140625" bestFit="1" customWidth="1"/>
    <col min="12" max="12" width="9.44140625" bestFit="1" customWidth="1"/>
    <col min="21" max="21" width="9.44140625" bestFit="1" customWidth="1"/>
    <col min="29" max="29" width="9.44140625" bestFit="1" customWidth="1"/>
  </cols>
  <sheetData>
    <row r="1" spans="1:32" x14ac:dyDescent="0.3">
      <c r="A1" s="3"/>
      <c r="B1" s="11">
        <v>45717</v>
      </c>
      <c r="C1" s="11">
        <v>45718</v>
      </c>
      <c r="D1" s="6">
        <v>45719</v>
      </c>
      <c r="E1" s="6">
        <v>45720</v>
      </c>
      <c r="F1" s="6">
        <v>45721</v>
      </c>
      <c r="G1" s="6">
        <v>45722</v>
      </c>
      <c r="H1" s="6">
        <v>45723</v>
      </c>
      <c r="I1" s="11">
        <v>45724</v>
      </c>
      <c r="J1" s="11">
        <v>45725</v>
      </c>
      <c r="K1" s="6">
        <v>45726</v>
      </c>
      <c r="L1" s="6">
        <v>45727</v>
      </c>
      <c r="M1" s="6">
        <v>45728</v>
      </c>
      <c r="N1" s="6">
        <v>45729</v>
      </c>
      <c r="O1" s="6">
        <v>45730</v>
      </c>
      <c r="P1" s="11">
        <v>45731</v>
      </c>
      <c r="Q1" s="11">
        <v>45732</v>
      </c>
      <c r="R1" s="6">
        <v>45733</v>
      </c>
      <c r="S1" s="6">
        <v>45734</v>
      </c>
      <c r="T1" s="6">
        <v>45735</v>
      </c>
      <c r="U1" s="6">
        <v>45736</v>
      </c>
      <c r="V1" s="6">
        <v>45737</v>
      </c>
      <c r="W1" s="11">
        <v>45738</v>
      </c>
      <c r="X1" s="11">
        <v>45739</v>
      </c>
      <c r="Y1" s="6">
        <v>45740</v>
      </c>
      <c r="Z1" s="6">
        <v>45741</v>
      </c>
      <c r="AA1" s="6">
        <v>45742</v>
      </c>
      <c r="AB1" s="6">
        <v>45743</v>
      </c>
      <c r="AC1" s="6">
        <v>45744</v>
      </c>
      <c r="AD1" s="11">
        <v>45745</v>
      </c>
      <c r="AE1" s="11">
        <v>45746</v>
      </c>
      <c r="AF1" s="6">
        <v>45747</v>
      </c>
    </row>
    <row r="2" spans="1:32" x14ac:dyDescent="0.3">
      <c r="A2" s="1" t="s">
        <v>0</v>
      </c>
      <c r="B2" s="12">
        <f>B4+B6+B8+B10+B12+B14+B16+B18+B20+B22+B24+B26+B28+B30+B32</f>
        <v>0</v>
      </c>
      <c r="C2" s="12">
        <f>C4+C6+C8+C10+C12+C14+C16+C18+C20+C22+C24+C26+C28+C30+C32</f>
        <v>0</v>
      </c>
      <c r="D2" s="2">
        <f t="shared" ref="D2:AF2" si="0">D4+D6+D8+D10+D12+D14+D16+D18+D20+D22+D24+D26+D28+D30+D32</f>
        <v>42.64</v>
      </c>
      <c r="E2" s="2">
        <f t="shared" si="0"/>
        <v>42.6</v>
      </c>
      <c r="F2" s="2">
        <f t="shared" si="0"/>
        <v>42.599999999999994</v>
      </c>
      <c r="G2" s="2">
        <f t="shared" si="0"/>
        <v>42.579999999999991</v>
      </c>
      <c r="H2" s="2">
        <f t="shared" si="0"/>
        <v>42.699999999999996</v>
      </c>
      <c r="I2" s="12">
        <f t="shared" si="0"/>
        <v>0</v>
      </c>
      <c r="J2" s="12">
        <f t="shared" si="0"/>
        <v>0</v>
      </c>
      <c r="K2" s="2">
        <f t="shared" si="0"/>
        <v>37.700000000000003</v>
      </c>
      <c r="L2" s="2">
        <f t="shared" si="0"/>
        <v>38.950000000000003</v>
      </c>
      <c r="M2" s="2">
        <f t="shared" si="0"/>
        <v>36.869999999999997</v>
      </c>
      <c r="N2" s="2">
        <f t="shared" si="0"/>
        <v>37.700000000000003</v>
      </c>
      <c r="O2" s="2">
        <f t="shared" si="0"/>
        <v>38.299999999999997</v>
      </c>
      <c r="P2" s="12">
        <f t="shared" si="0"/>
        <v>0</v>
      </c>
      <c r="Q2" s="12">
        <f t="shared" si="0"/>
        <v>0</v>
      </c>
      <c r="R2" s="2">
        <f t="shared" si="0"/>
        <v>37.700000000000003</v>
      </c>
      <c r="S2" s="2">
        <f>S4+S6+S8+S10+S12+S14+S16+S18+S20+S22+S24+S26+S28+S30+S32</f>
        <v>37.75</v>
      </c>
      <c r="T2" s="2">
        <f>T4+T6+T8+T10+T12+T14+T16+T18+T20+T22+T24+T26+T28+T30+T32</f>
        <v>37.699999999999996</v>
      </c>
      <c r="U2" s="2">
        <f t="shared" si="0"/>
        <v>23.1</v>
      </c>
      <c r="V2" s="2">
        <f t="shared" si="0"/>
        <v>13</v>
      </c>
      <c r="W2" s="12">
        <f t="shared" si="0"/>
        <v>0</v>
      </c>
      <c r="X2" s="12">
        <f t="shared" si="0"/>
        <v>0</v>
      </c>
      <c r="Y2" s="2">
        <f t="shared" si="0"/>
        <v>16.64</v>
      </c>
      <c r="Z2" s="2">
        <f t="shared" si="0"/>
        <v>18.18</v>
      </c>
      <c r="AA2" s="2">
        <f>AA4+AA6+AA8+AA10+AA12+AA14+AA16+AA18+AA20+AA22+AA24+AA26+AA28+AA30+AA32</f>
        <v>26.35</v>
      </c>
      <c r="AB2" s="2">
        <f t="shared" si="0"/>
        <v>37.729999999999997</v>
      </c>
      <c r="AC2" s="2">
        <f t="shared" si="0"/>
        <v>34.480000000000004</v>
      </c>
      <c r="AD2" s="12">
        <f t="shared" si="0"/>
        <v>0</v>
      </c>
      <c r="AE2" s="12">
        <f t="shared" si="0"/>
        <v>0</v>
      </c>
      <c r="AF2" s="2">
        <f t="shared" si="0"/>
        <v>37.700000000000003</v>
      </c>
    </row>
    <row r="3" spans="1:32" x14ac:dyDescent="0.3">
      <c r="A3" s="3" t="s">
        <v>1</v>
      </c>
      <c r="B3" s="13"/>
      <c r="C3" s="13"/>
      <c r="D3" s="21" t="s">
        <v>2</v>
      </c>
      <c r="E3" t="s">
        <v>139</v>
      </c>
      <c r="F3" t="s">
        <v>140</v>
      </c>
      <c r="G3" s="17" t="s">
        <v>141</v>
      </c>
      <c r="H3" t="s">
        <v>142</v>
      </c>
      <c r="I3" s="13"/>
      <c r="J3" s="13"/>
      <c r="K3" s="21" t="s">
        <v>2</v>
      </c>
      <c r="L3" t="s">
        <v>143</v>
      </c>
      <c r="M3" t="s">
        <v>144</v>
      </c>
      <c r="N3" t="s">
        <v>145</v>
      </c>
      <c r="O3" s="17" t="s">
        <v>146</v>
      </c>
      <c r="P3" s="13"/>
      <c r="Q3" s="12"/>
      <c r="R3" s="21" t="s">
        <v>2</v>
      </c>
      <c r="S3" s="8" t="s">
        <v>147</v>
      </c>
      <c r="T3" s="8" t="s">
        <v>148</v>
      </c>
      <c r="U3" s="8" t="s">
        <v>149</v>
      </c>
      <c r="V3" t="s">
        <v>150</v>
      </c>
      <c r="W3" s="13"/>
      <c r="X3" s="12"/>
      <c r="Y3" s="21" t="s">
        <v>2</v>
      </c>
      <c r="Z3" t="s">
        <v>151</v>
      </c>
      <c r="AA3" t="s">
        <v>152</v>
      </c>
      <c r="AB3" t="s">
        <v>153</v>
      </c>
      <c r="AC3" t="s">
        <v>154</v>
      </c>
      <c r="AD3" s="13"/>
      <c r="AE3" s="13"/>
      <c r="AF3" s="21" t="s">
        <v>2</v>
      </c>
    </row>
    <row r="4" spans="1:32" x14ac:dyDescent="0.3">
      <c r="A4" s="4" t="s">
        <v>13</v>
      </c>
      <c r="B4" s="13"/>
      <c r="C4" s="13"/>
      <c r="D4" s="22">
        <v>20</v>
      </c>
      <c r="E4" s="5">
        <v>2.6</v>
      </c>
      <c r="F4" s="5">
        <v>11.2</v>
      </c>
      <c r="G4" s="18">
        <v>20</v>
      </c>
      <c r="H4" s="5">
        <v>4.0999999999999996</v>
      </c>
      <c r="I4" s="13"/>
      <c r="J4" s="13"/>
      <c r="K4" s="22">
        <v>20</v>
      </c>
      <c r="L4" s="5">
        <v>15.6</v>
      </c>
      <c r="M4" s="5">
        <v>4.5999999999999996</v>
      </c>
      <c r="N4" s="5">
        <v>16.399999999999999</v>
      </c>
      <c r="O4" s="18">
        <v>6.7</v>
      </c>
      <c r="P4" s="13"/>
      <c r="Q4" s="12"/>
      <c r="R4" s="22">
        <v>8</v>
      </c>
      <c r="S4" s="7">
        <v>9.25</v>
      </c>
      <c r="T4" s="7">
        <v>5.6</v>
      </c>
      <c r="U4" s="7">
        <v>5.2</v>
      </c>
      <c r="V4" s="5">
        <v>5.2</v>
      </c>
      <c r="W4" s="13"/>
      <c r="X4" s="12"/>
      <c r="Y4" s="22">
        <v>8</v>
      </c>
      <c r="Z4" s="63">
        <v>8.32</v>
      </c>
      <c r="AA4" s="5">
        <v>2.6</v>
      </c>
      <c r="AB4" s="5">
        <v>28.5</v>
      </c>
      <c r="AC4" s="5">
        <v>2.6</v>
      </c>
      <c r="AD4" s="13"/>
      <c r="AE4" s="13"/>
      <c r="AF4" s="22">
        <v>20</v>
      </c>
    </row>
    <row r="5" spans="1:32" x14ac:dyDescent="0.3">
      <c r="A5" s="3" t="s">
        <v>1</v>
      </c>
      <c r="B5" s="13"/>
      <c r="C5" s="13"/>
      <c r="D5" s="23" t="s">
        <v>14</v>
      </c>
      <c r="E5" s="17" t="s">
        <v>155</v>
      </c>
      <c r="F5" t="s">
        <v>156</v>
      </c>
      <c r="G5" t="s">
        <v>157</v>
      </c>
      <c r="H5" t="s">
        <v>158</v>
      </c>
      <c r="I5" s="13"/>
      <c r="J5" s="13"/>
      <c r="K5" s="23" t="s">
        <v>14</v>
      </c>
      <c r="L5" t="s">
        <v>159</v>
      </c>
      <c r="M5" t="s">
        <v>160</v>
      </c>
      <c r="N5" t="s">
        <v>161</v>
      </c>
      <c r="O5" t="s">
        <v>162</v>
      </c>
      <c r="P5" s="13"/>
      <c r="Q5" s="12"/>
      <c r="R5" s="23" t="s">
        <v>14</v>
      </c>
      <c r="S5" s="19" t="s">
        <v>163</v>
      </c>
      <c r="T5" s="8" t="s">
        <v>164</v>
      </c>
      <c r="U5" s="19" t="s">
        <v>165</v>
      </c>
      <c r="V5" t="s">
        <v>166</v>
      </c>
      <c r="W5" s="13"/>
      <c r="X5" s="12"/>
      <c r="Y5" s="23" t="s">
        <v>14</v>
      </c>
      <c r="Z5" t="s">
        <v>167</v>
      </c>
      <c r="AB5" t="s">
        <v>168</v>
      </c>
      <c r="AC5" t="s">
        <v>169</v>
      </c>
      <c r="AD5" s="13"/>
      <c r="AE5" s="13"/>
      <c r="AF5" s="23" t="s">
        <v>14</v>
      </c>
    </row>
    <row r="6" spans="1:32" x14ac:dyDescent="0.3">
      <c r="A6" s="4" t="s">
        <v>13</v>
      </c>
      <c r="B6" s="13"/>
      <c r="C6" s="13"/>
      <c r="D6" s="24">
        <v>5</v>
      </c>
      <c r="E6" s="18">
        <v>11.8</v>
      </c>
      <c r="F6" s="5">
        <v>9.1999999999999993</v>
      </c>
      <c r="G6" s="5">
        <v>6.5</v>
      </c>
      <c r="H6" s="63">
        <v>2.25</v>
      </c>
      <c r="I6" s="13"/>
      <c r="J6" s="13"/>
      <c r="K6" s="24">
        <v>5</v>
      </c>
      <c r="L6" s="5">
        <v>10.4</v>
      </c>
      <c r="M6" s="5">
        <v>2.4</v>
      </c>
      <c r="N6" s="5">
        <v>4.5999999999999996</v>
      </c>
      <c r="O6" s="5">
        <v>10.199999999999999</v>
      </c>
      <c r="P6" s="13"/>
      <c r="Q6" s="12"/>
      <c r="R6" s="24">
        <v>5</v>
      </c>
      <c r="S6" s="20">
        <v>1.8</v>
      </c>
      <c r="T6" s="7">
        <v>5.2</v>
      </c>
      <c r="U6" s="20">
        <v>1.9</v>
      </c>
      <c r="V6" s="5"/>
      <c r="W6" s="13"/>
      <c r="X6" s="12"/>
      <c r="Y6" s="24">
        <v>5</v>
      </c>
      <c r="Z6" s="63">
        <v>2.4</v>
      </c>
      <c r="AA6" s="5"/>
      <c r="AB6" s="5">
        <v>2.9</v>
      </c>
      <c r="AC6" s="5">
        <v>2.6</v>
      </c>
      <c r="AD6" s="13"/>
      <c r="AE6" s="13"/>
      <c r="AF6" s="24">
        <v>5</v>
      </c>
    </row>
    <row r="7" spans="1:32" x14ac:dyDescent="0.3">
      <c r="A7" s="3" t="s">
        <v>1</v>
      </c>
      <c r="B7" s="13"/>
      <c r="C7" s="13"/>
      <c r="D7" t="s">
        <v>170</v>
      </c>
      <c r="E7" t="s">
        <v>171</v>
      </c>
      <c r="F7" t="s">
        <v>172</v>
      </c>
      <c r="G7" t="s">
        <v>173</v>
      </c>
      <c r="H7" s="17" t="s">
        <v>174</v>
      </c>
      <c r="I7" s="13"/>
      <c r="J7" s="13"/>
      <c r="K7" t="s">
        <v>175</v>
      </c>
      <c r="L7" t="s">
        <v>176</v>
      </c>
      <c r="M7" t="s">
        <v>177</v>
      </c>
      <c r="N7" t="s">
        <v>178</v>
      </c>
      <c r="O7" t="s">
        <v>175</v>
      </c>
      <c r="P7" s="13"/>
      <c r="Q7" s="12"/>
      <c r="R7" s="8" t="s">
        <v>179</v>
      </c>
      <c r="S7" s="8" t="s">
        <v>180</v>
      </c>
      <c r="T7" s="8" t="s">
        <v>181</v>
      </c>
      <c r="U7" s="8" t="s">
        <v>182</v>
      </c>
      <c r="V7" t="s">
        <v>183</v>
      </c>
      <c r="W7" s="13"/>
      <c r="X7" s="12"/>
      <c r="Y7" s="8" t="s">
        <v>184</v>
      </c>
      <c r="Z7" t="s">
        <v>185</v>
      </c>
      <c r="AA7" t="s">
        <v>186</v>
      </c>
      <c r="AB7" t="s">
        <v>187</v>
      </c>
      <c r="AC7" t="s">
        <v>188</v>
      </c>
      <c r="AD7" s="13"/>
      <c r="AE7" s="13"/>
      <c r="AF7" s="8" t="s">
        <v>189</v>
      </c>
    </row>
    <row r="8" spans="1:32" x14ac:dyDescent="0.3">
      <c r="A8" s="4" t="s">
        <v>13</v>
      </c>
      <c r="B8" s="13"/>
      <c r="C8" s="13"/>
      <c r="D8" s="5">
        <v>5.54</v>
      </c>
      <c r="E8" s="5">
        <v>10.199999999999999</v>
      </c>
      <c r="F8" s="5">
        <v>9.1999999999999993</v>
      </c>
      <c r="G8" s="5">
        <v>2.9</v>
      </c>
      <c r="H8" s="18">
        <v>2.65</v>
      </c>
      <c r="I8" s="13"/>
      <c r="J8" s="13"/>
      <c r="K8" s="5">
        <v>3.3</v>
      </c>
      <c r="L8" s="5">
        <v>2.6</v>
      </c>
      <c r="M8" s="5">
        <v>4.3</v>
      </c>
      <c r="N8" s="5">
        <v>5</v>
      </c>
      <c r="O8" s="5">
        <v>10.199999999999999</v>
      </c>
      <c r="P8" s="13"/>
      <c r="Q8" s="12"/>
      <c r="R8" s="7">
        <v>11.2</v>
      </c>
      <c r="S8" s="65">
        <v>4.3</v>
      </c>
      <c r="T8" s="7">
        <v>5.2</v>
      </c>
      <c r="U8" s="7">
        <v>3.5</v>
      </c>
      <c r="V8" s="5">
        <v>2.6</v>
      </c>
      <c r="W8" s="13"/>
      <c r="X8" s="12"/>
      <c r="Y8" s="7">
        <v>3.64</v>
      </c>
      <c r="Z8" s="5">
        <v>3.8</v>
      </c>
      <c r="AA8" s="5">
        <v>6.9</v>
      </c>
      <c r="AB8" s="5">
        <v>3.9</v>
      </c>
      <c r="AC8" s="5">
        <v>2.4300000000000002</v>
      </c>
      <c r="AD8" s="13"/>
      <c r="AE8" s="13"/>
      <c r="AF8" s="7">
        <v>2.6</v>
      </c>
    </row>
    <row r="9" spans="1:32" x14ac:dyDescent="0.3">
      <c r="A9" s="3" t="s">
        <v>1</v>
      </c>
      <c r="B9" s="13"/>
      <c r="C9" s="13"/>
      <c r="D9" s="17" t="s">
        <v>155</v>
      </c>
      <c r="E9" t="s">
        <v>190</v>
      </c>
      <c r="F9" s="17" t="s">
        <v>141</v>
      </c>
      <c r="G9" t="s">
        <v>191</v>
      </c>
      <c r="H9" t="s">
        <v>192</v>
      </c>
      <c r="I9" s="13"/>
      <c r="J9" s="13"/>
      <c r="K9" t="s">
        <v>193</v>
      </c>
      <c r="L9" t="s">
        <v>194</v>
      </c>
      <c r="M9" t="s">
        <v>195</v>
      </c>
      <c r="N9" t="s">
        <v>196</v>
      </c>
      <c r="O9" t="s">
        <v>197</v>
      </c>
      <c r="P9" s="13"/>
      <c r="Q9" s="12"/>
      <c r="R9" s="8" t="s">
        <v>198</v>
      </c>
      <c r="S9" s="8" t="s">
        <v>199</v>
      </c>
      <c r="T9" s="19" t="s">
        <v>200</v>
      </c>
      <c r="U9" s="8" t="s">
        <v>201</v>
      </c>
      <c r="V9" t="s">
        <v>202</v>
      </c>
      <c r="W9" s="13"/>
      <c r="X9" s="12"/>
      <c r="Y9" s="8"/>
      <c r="Z9" t="s">
        <v>203</v>
      </c>
      <c r="AA9" t="s">
        <v>204</v>
      </c>
      <c r="AB9" t="s">
        <v>205</v>
      </c>
      <c r="AC9" t="s">
        <v>206</v>
      </c>
      <c r="AD9" s="13"/>
      <c r="AE9" s="13"/>
      <c r="AF9" s="8" t="s">
        <v>207</v>
      </c>
    </row>
    <row r="10" spans="1:32" x14ac:dyDescent="0.3">
      <c r="A10" s="4" t="s">
        <v>13</v>
      </c>
      <c r="B10" s="13"/>
      <c r="C10" s="13"/>
      <c r="D10" s="18">
        <v>12.1</v>
      </c>
      <c r="E10" s="5">
        <v>18</v>
      </c>
      <c r="F10" s="18">
        <v>13</v>
      </c>
      <c r="G10" s="5">
        <v>3.12</v>
      </c>
      <c r="H10" s="5">
        <v>21.9</v>
      </c>
      <c r="I10" s="13"/>
      <c r="J10" s="13"/>
      <c r="K10" s="5">
        <v>2.4</v>
      </c>
      <c r="L10" s="5">
        <v>5.6</v>
      </c>
      <c r="M10" s="5">
        <v>11.2</v>
      </c>
      <c r="N10" s="5">
        <v>11.7</v>
      </c>
      <c r="O10" s="5">
        <v>5.2</v>
      </c>
      <c r="P10" s="13"/>
      <c r="Q10" s="12"/>
      <c r="R10" s="7">
        <v>5.2</v>
      </c>
      <c r="S10" s="7">
        <v>8.1999999999999993</v>
      </c>
      <c r="T10" s="20">
        <v>0.6</v>
      </c>
      <c r="U10" s="7">
        <v>2.6</v>
      </c>
      <c r="V10" s="5">
        <v>5.2</v>
      </c>
      <c r="W10" s="13"/>
      <c r="X10" s="12"/>
      <c r="Y10" s="7"/>
      <c r="Z10" s="5">
        <v>3.66</v>
      </c>
      <c r="AA10" s="5">
        <v>6.6</v>
      </c>
      <c r="AB10" s="5">
        <v>2.4300000000000002</v>
      </c>
      <c r="AC10" s="5">
        <v>12.15</v>
      </c>
      <c r="AD10" s="13"/>
      <c r="AE10" s="13"/>
      <c r="AF10" s="7">
        <v>4.9000000000000004</v>
      </c>
    </row>
    <row r="11" spans="1:32" x14ac:dyDescent="0.3">
      <c r="A11" s="3" t="s">
        <v>1</v>
      </c>
      <c r="B11" s="13"/>
      <c r="C11" s="13"/>
      <c r="G11" t="s">
        <v>208</v>
      </c>
      <c r="H11" t="s">
        <v>209</v>
      </c>
      <c r="I11" s="13"/>
      <c r="J11" s="13"/>
      <c r="K11" t="s">
        <v>210</v>
      </c>
      <c r="L11" s="17" t="s">
        <v>211</v>
      </c>
      <c r="M11" t="s">
        <v>212</v>
      </c>
      <c r="O11" t="s">
        <v>213</v>
      </c>
      <c r="P11" s="13"/>
      <c r="Q11" s="12"/>
      <c r="R11" s="8" t="s">
        <v>214</v>
      </c>
      <c r="S11" t="s">
        <v>215</v>
      </c>
      <c r="T11" s="8" t="s">
        <v>216</v>
      </c>
      <c r="U11" s="8" t="s">
        <v>217</v>
      </c>
      <c r="W11" s="13"/>
      <c r="X11" s="12"/>
      <c r="Y11" s="8"/>
      <c r="AA11" t="s">
        <v>218</v>
      </c>
      <c r="AC11" s="17" t="s">
        <v>219</v>
      </c>
      <c r="AD11" s="13"/>
      <c r="AE11" s="13"/>
      <c r="AF11" s="8" t="s">
        <v>220</v>
      </c>
    </row>
    <row r="12" spans="1:32" x14ac:dyDescent="0.3">
      <c r="A12" s="4" t="s">
        <v>13</v>
      </c>
      <c r="B12" s="13"/>
      <c r="C12" s="13"/>
      <c r="D12" s="5"/>
      <c r="E12" s="5"/>
      <c r="F12" s="5"/>
      <c r="G12" s="5">
        <v>3.12</v>
      </c>
      <c r="H12" s="5">
        <v>2.4</v>
      </c>
      <c r="I12" s="13"/>
      <c r="J12" s="13"/>
      <c r="K12" s="5">
        <v>2.4</v>
      </c>
      <c r="L12" s="18">
        <v>2.0499999999999998</v>
      </c>
      <c r="M12" s="5">
        <v>2.77</v>
      </c>
      <c r="N12" s="5"/>
      <c r="O12" s="5">
        <v>6</v>
      </c>
      <c r="P12" s="13"/>
      <c r="Q12" s="12"/>
      <c r="R12" s="7">
        <v>2.6</v>
      </c>
      <c r="S12" s="7">
        <v>5.2</v>
      </c>
      <c r="T12" s="7">
        <v>12</v>
      </c>
      <c r="U12" s="7">
        <v>6.9</v>
      </c>
      <c r="V12" s="5"/>
      <c r="W12" s="13"/>
      <c r="X12" s="12"/>
      <c r="Y12" s="7"/>
      <c r="Z12" s="5"/>
      <c r="AA12" s="5">
        <v>7.65</v>
      </c>
      <c r="AB12" s="5"/>
      <c r="AC12" s="18">
        <v>11.8</v>
      </c>
      <c r="AD12" s="13"/>
      <c r="AE12" s="13"/>
      <c r="AF12" s="7">
        <v>2.6</v>
      </c>
    </row>
    <row r="13" spans="1:32" x14ac:dyDescent="0.3">
      <c r="A13" s="3" t="s">
        <v>1</v>
      </c>
      <c r="B13" s="13"/>
      <c r="C13" s="13"/>
      <c r="G13" t="s">
        <v>221</v>
      </c>
      <c r="H13" t="s">
        <v>222</v>
      </c>
      <c r="I13" s="13"/>
      <c r="J13" s="13"/>
      <c r="K13" t="s">
        <v>223</v>
      </c>
      <c r="L13" t="s">
        <v>224</v>
      </c>
      <c r="M13" t="s">
        <v>225</v>
      </c>
      <c r="P13" s="13"/>
      <c r="Q13" s="12"/>
      <c r="R13" s="8" t="s">
        <v>226</v>
      </c>
      <c r="S13" t="s">
        <v>227</v>
      </c>
      <c r="T13" s="8" t="s">
        <v>228</v>
      </c>
      <c r="U13" s="8" t="s">
        <v>229</v>
      </c>
      <c r="W13" s="13"/>
      <c r="X13" s="12"/>
      <c r="Y13" s="8"/>
      <c r="AA13" t="s">
        <v>230</v>
      </c>
      <c r="AC13" s="17" t="s">
        <v>231</v>
      </c>
      <c r="AD13" s="13"/>
      <c r="AE13" s="13"/>
      <c r="AF13" s="8" t="s">
        <v>232</v>
      </c>
    </row>
    <row r="14" spans="1:32" x14ac:dyDescent="0.3">
      <c r="A14" s="4" t="s">
        <v>13</v>
      </c>
      <c r="B14" s="13"/>
      <c r="C14" s="13"/>
      <c r="D14" s="5"/>
      <c r="E14" s="5"/>
      <c r="F14" s="5"/>
      <c r="G14" s="5">
        <v>3.12</v>
      </c>
      <c r="H14" s="5">
        <v>4.5999999999999996</v>
      </c>
      <c r="I14" s="13"/>
      <c r="J14" s="13"/>
      <c r="K14" s="5">
        <v>2.6</v>
      </c>
      <c r="L14" s="5">
        <v>2.7</v>
      </c>
      <c r="M14" s="5">
        <v>7.6</v>
      </c>
      <c r="N14" s="5"/>
      <c r="O14" s="5"/>
      <c r="P14" s="13"/>
      <c r="Q14" s="12"/>
      <c r="R14" s="7">
        <v>2.6</v>
      </c>
      <c r="S14" s="7">
        <v>7</v>
      </c>
      <c r="T14" s="7">
        <v>7.8</v>
      </c>
      <c r="U14" s="7">
        <v>3</v>
      </c>
      <c r="V14" s="5"/>
      <c r="W14" s="13"/>
      <c r="X14" s="12"/>
      <c r="Y14" s="7"/>
      <c r="Z14" s="5"/>
      <c r="AA14" s="5">
        <v>2.6</v>
      </c>
      <c r="AB14" s="5"/>
      <c r="AC14" s="18">
        <v>2.9</v>
      </c>
      <c r="AD14" s="13"/>
      <c r="AE14" s="13"/>
      <c r="AF14" s="7">
        <v>2.6</v>
      </c>
    </row>
    <row r="15" spans="1:32" x14ac:dyDescent="0.3">
      <c r="A15" s="3" t="s">
        <v>1</v>
      </c>
      <c r="B15" s="13"/>
      <c r="C15" s="13"/>
      <c r="G15" t="s">
        <v>233</v>
      </c>
      <c r="H15" t="s">
        <v>234</v>
      </c>
      <c r="I15" s="13"/>
      <c r="J15" s="13"/>
      <c r="K15" t="s">
        <v>235</v>
      </c>
      <c r="M15" t="s">
        <v>236</v>
      </c>
      <c r="P15" s="13"/>
      <c r="Q15" s="12"/>
      <c r="R15" s="8" t="s">
        <v>237</v>
      </c>
      <c r="S15" t="s">
        <v>238</v>
      </c>
      <c r="T15" s="8" t="s">
        <v>239</v>
      </c>
      <c r="U15" s="8"/>
      <c r="W15" s="13"/>
      <c r="X15" s="12"/>
      <c r="Y15" s="8"/>
      <c r="AD15" s="13"/>
      <c r="AE15" s="13"/>
      <c r="AF15" s="8"/>
    </row>
    <row r="16" spans="1:32" x14ac:dyDescent="0.3">
      <c r="A16" s="4" t="s">
        <v>13</v>
      </c>
      <c r="B16" s="13"/>
      <c r="C16" s="13"/>
      <c r="D16" s="5"/>
      <c r="E16" s="5"/>
      <c r="F16" s="5"/>
      <c r="G16" s="5">
        <v>3.12</v>
      </c>
      <c r="H16" s="5">
        <v>2</v>
      </c>
      <c r="I16" s="13"/>
      <c r="J16" s="13"/>
      <c r="K16" s="5">
        <v>2</v>
      </c>
      <c r="L16" s="5"/>
      <c r="M16" s="5">
        <v>4</v>
      </c>
      <c r="N16" s="5"/>
      <c r="O16" s="5"/>
      <c r="P16" s="13"/>
      <c r="Q16" s="12"/>
      <c r="R16" s="7">
        <v>1.4</v>
      </c>
      <c r="S16" s="7">
        <v>2</v>
      </c>
      <c r="T16" s="7">
        <v>1.3</v>
      </c>
      <c r="U16" s="7"/>
      <c r="V16" s="5"/>
      <c r="W16" s="13"/>
      <c r="X16" s="12"/>
      <c r="Y16" s="7"/>
      <c r="Z16" s="5"/>
      <c r="AA16" s="5"/>
      <c r="AB16" s="5"/>
      <c r="AC16" s="5"/>
      <c r="AD16" s="13"/>
      <c r="AE16" s="13"/>
      <c r="AF16" s="7"/>
    </row>
    <row r="17" spans="1:32" x14ac:dyDescent="0.3">
      <c r="A17" s="3" t="s">
        <v>1</v>
      </c>
      <c r="B17" s="13"/>
      <c r="C17" s="13"/>
      <c r="G17" t="s">
        <v>240</v>
      </c>
      <c r="H17" t="s">
        <v>241</v>
      </c>
      <c r="I17" s="13"/>
      <c r="J17" s="13"/>
      <c r="P17" s="13"/>
      <c r="Q17" s="12"/>
      <c r="R17" s="8" t="s">
        <v>242</v>
      </c>
      <c r="S17" s="8"/>
      <c r="T17" s="8"/>
      <c r="U17" s="8"/>
      <c r="W17" s="13"/>
      <c r="X17" s="12"/>
      <c r="Y17" s="8"/>
      <c r="AD17" s="13"/>
      <c r="AE17" s="13"/>
      <c r="AF17" s="8"/>
    </row>
    <row r="18" spans="1:32" x14ac:dyDescent="0.3">
      <c r="A18" s="4" t="s">
        <v>13</v>
      </c>
      <c r="B18" s="13"/>
      <c r="C18" s="13"/>
      <c r="D18" s="5"/>
      <c r="E18" s="5"/>
      <c r="F18" s="5"/>
      <c r="G18" s="5">
        <v>0.7</v>
      </c>
      <c r="H18" s="5">
        <v>2.8</v>
      </c>
      <c r="I18" s="13"/>
      <c r="J18" s="13"/>
      <c r="K18" s="5"/>
      <c r="L18" s="5"/>
      <c r="M18" s="5"/>
      <c r="N18" s="5"/>
      <c r="O18" s="5"/>
      <c r="P18" s="13"/>
      <c r="Q18" s="12"/>
      <c r="R18" s="7">
        <v>1.7</v>
      </c>
      <c r="S18" s="7"/>
      <c r="T18" s="7"/>
      <c r="U18" s="7"/>
      <c r="V18" s="5"/>
      <c r="W18" s="13"/>
      <c r="X18" s="12"/>
      <c r="Y18" s="7"/>
      <c r="Z18" s="5"/>
      <c r="AA18" s="5"/>
      <c r="AB18" s="5"/>
      <c r="AC18" s="5"/>
      <c r="AD18" s="13"/>
      <c r="AE18" s="13"/>
      <c r="AF18" s="7"/>
    </row>
    <row r="19" spans="1:32" x14ac:dyDescent="0.3">
      <c r="A19" s="3" t="s">
        <v>1</v>
      </c>
      <c r="B19" s="13"/>
      <c r="C19" s="13"/>
      <c r="I19" s="13"/>
      <c r="J19" s="13"/>
      <c r="P19" s="13"/>
      <c r="Q19" s="12"/>
      <c r="R19" s="8"/>
      <c r="S19" s="8"/>
      <c r="T19" s="8"/>
      <c r="U19" s="8"/>
      <c r="W19" s="13"/>
      <c r="X19" s="12"/>
      <c r="Y19" s="8"/>
      <c r="AD19" s="13"/>
      <c r="AE19" s="13"/>
      <c r="AF19" s="8"/>
    </row>
    <row r="20" spans="1:32" x14ac:dyDescent="0.3">
      <c r="A20" s="4" t="s">
        <v>13</v>
      </c>
      <c r="B20" s="13"/>
      <c r="C20" s="13"/>
      <c r="D20" s="5"/>
      <c r="E20" s="5"/>
      <c r="F20" s="5"/>
      <c r="G20" s="5"/>
      <c r="H20" s="5"/>
      <c r="I20" s="13"/>
      <c r="J20" s="13"/>
      <c r="K20" s="5"/>
      <c r="L20" s="5"/>
      <c r="M20" s="5"/>
      <c r="N20" s="5"/>
      <c r="O20" s="5"/>
      <c r="P20" s="13"/>
      <c r="Q20" s="12"/>
      <c r="R20" s="7"/>
      <c r="S20" s="7"/>
      <c r="T20" s="7"/>
      <c r="U20" s="7"/>
      <c r="V20" s="5"/>
      <c r="W20" s="13"/>
      <c r="X20" s="12"/>
      <c r="Y20" s="7"/>
      <c r="Z20" s="5"/>
      <c r="AA20" s="5"/>
      <c r="AB20" s="5"/>
      <c r="AC20" s="5"/>
      <c r="AD20" s="13"/>
      <c r="AE20" s="13"/>
      <c r="AF20" s="7"/>
    </row>
    <row r="21" spans="1:32" x14ac:dyDescent="0.3">
      <c r="A21" s="3" t="s">
        <v>1</v>
      </c>
      <c r="B21" s="13"/>
      <c r="C21" s="13"/>
      <c r="I21" s="13"/>
      <c r="J21" s="13"/>
      <c r="P21" s="13"/>
      <c r="Q21" s="12"/>
      <c r="R21" s="8"/>
      <c r="S21" s="8"/>
      <c r="T21" s="8"/>
      <c r="U21" s="8"/>
      <c r="W21" s="13"/>
      <c r="X21" s="12"/>
      <c r="Y21" s="8"/>
      <c r="AD21" s="13"/>
      <c r="AE21" s="13"/>
      <c r="AF21" s="8"/>
    </row>
    <row r="22" spans="1:32" x14ac:dyDescent="0.3">
      <c r="A22" s="4" t="s">
        <v>13</v>
      </c>
      <c r="B22" s="13"/>
      <c r="C22" s="13"/>
      <c r="D22" s="5"/>
      <c r="E22" s="5"/>
      <c r="F22" s="5"/>
      <c r="G22" s="5"/>
      <c r="H22" s="5"/>
      <c r="I22" s="13"/>
      <c r="J22" s="13"/>
      <c r="K22" s="5"/>
      <c r="L22" s="5"/>
      <c r="M22" s="5"/>
      <c r="N22" s="5"/>
      <c r="O22" s="5"/>
      <c r="P22" s="13"/>
      <c r="Q22" s="12"/>
      <c r="R22" s="7"/>
      <c r="S22" s="7"/>
      <c r="T22" s="7"/>
      <c r="U22" s="7"/>
      <c r="V22" s="5"/>
      <c r="W22" s="13"/>
      <c r="X22" s="12"/>
      <c r="Y22" s="7"/>
      <c r="Z22" s="5"/>
      <c r="AA22" s="5"/>
      <c r="AB22" s="5"/>
      <c r="AC22" s="5"/>
      <c r="AD22" s="13"/>
      <c r="AE22" s="13"/>
      <c r="AF22" s="7"/>
    </row>
    <row r="23" spans="1:32" x14ac:dyDescent="0.3">
      <c r="A23" s="3" t="s">
        <v>1</v>
      </c>
      <c r="B23" s="13"/>
      <c r="C23" s="13"/>
      <c r="I23" s="13"/>
      <c r="J23" s="13"/>
      <c r="P23" s="13"/>
      <c r="Q23" s="12"/>
      <c r="R23" s="8"/>
      <c r="S23" s="8"/>
      <c r="T23" s="8"/>
      <c r="U23" s="8"/>
      <c r="W23" s="13"/>
      <c r="X23" s="12"/>
      <c r="Y23" s="8"/>
      <c r="AD23" s="13"/>
      <c r="AE23" s="13"/>
      <c r="AF23" s="8"/>
    </row>
    <row r="24" spans="1:32" x14ac:dyDescent="0.3">
      <c r="A24" s="4" t="s">
        <v>13</v>
      </c>
      <c r="B24" s="13"/>
      <c r="C24" s="13"/>
      <c r="D24" s="5"/>
      <c r="E24" s="5"/>
      <c r="F24" s="5"/>
      <c r="G24" s="5"/>
      <c r="H24" s="5"/>
      <c r="I24" s="13"/>
      <c r="J24" s="13"/>
      <c r="K24" s="5"/>
      <c r="L24" s="5"/>
      <c r="M24" s="5"/>
      <c r="N24" s="5"/>
      <c r="O24" s="5"/>
      <c r="P24" s="13"/>
      <c r="Q24" s="12"/>
      <c r="R24" s="7"/>
      <c r="S24" s="7"/>
      <c r="T24" s="7"/>
      <c r="U24" s="7"/>
      <c r="V24" s="5"/>
      <c r="W24" s="13"/>
      <c r="X24" s="12"/>
      <c r="Y24" s="7"/>
      <c r="Z24" s="5"/>
      <c r="AA24" s="5"/>
      <c r="AB24" s="5"/>
      <c r="AC24" s="5"/>
      <c r="AD24" s="13"/>
      <c r="AE24" s="13"/>
      <c r="AF24" s="7"/>
    </row>
    <row r="25" spans="1:32" x14ac:dyDescent="0.3">
      <c r="A25" s="3" t="s">
        <v>1</v>
      </c>
      <c r="B25" s="13"/>
      <c r="C25" s="13"/>
      <c r="I25" s="13"/>
      <c r="J25" s="13"/>
      <c r="P25" s="13"/>
      <c r="Q25" s="12"/>
      <c r="R25" s="8"/>
      <c r="S25" s="8"/>
      <c r="T25" s="8"/>
      <c r="U25" s="8"/>
      <c r="W25" s="13"/>
      <c r="X25" s="12"/>
      <c r="Y25" s="8"/>
      <c r="AD25" s="13"/>
      <c r="AE25" s="13"/>
      <c r="AF25" s="8"/>
    </row>
    <row r="26" spans="1:32" x14ac:dyDescent="0.3">
      <c r="A26" s="4" t="s">
        <v>13</v>
      </c>
      <c r="B26" s="13"/>
      <c r="C26" s="13"/>
      <c r="D26" s="5"/>
      <c r="E26" s="5"/>
      <c r="F26" s="5"/>
      <c r="G26" s="5"/>
      <c r="H26" s="5"/>
      <c r="I26" s="13"/>
      <c r="J26" s="13"/>
      <c r="K26" s="5"/>
      <c r="L26" s="5"/>
      <c r="M26" s="5"/>
      <c r="N26" s="5"/>
      <c r="O26" s="5"/>
      <c r="P26" s="13"/>
      <c r="Q26" s="12"/>
      <c r="R26" s="7"/>
      <c r="S26" s="7"/>
      <c r="T26" s="7"/>
      <c r="U26" s="7"/>
      <c r="V26" s="5"/>
      <c r="W26" s="13"/>
      <c r="X26" s="12"/>
      <c r="Y26" s="7"/>
      <c r="Z26" s="5"/>
      <c r="AA26" s="5"/>
      <c r="AB26" s="5"/>
      <c r="AC26" s="5"/>
      <c r="AD26" s="13"/>
      <c r="AE26" s="13"/>
      <c r="AF26" s="7"/>
    </row>
    <row r="27" spans="1:32" x14ac:dyDescent="0.3">
      <c r="A27" s="3" t="s">
        <v>1</v>
      </c>
      <c r="B27" s="13"/>
      <c r="C27" s="13"/>
      <c r="I27" s="13"/>
      <c r="J27" s="13"/>
      <c r="P27" s="13"/>
      <c r="Q27" s="12"/>
      <c r="R27" s="8"/>
      <c r="S27" s="8"/>
      <c r="T27" s="8"/>
      <c r="U27" s="8"/>
      <c r="W27" s="13"/>
      <c r="X27" s="12"/>
      <c r="Y27" s="8"/>
      <c r="AD27" s="13"/>
      <c r="AE27" s="13"/>
      <c r="AF27" s="8"/>
    </row>
    <row r="28" spans="1:32" x14ac:dyDescent="0.3">
      <c r="A28" s="4" t="s">
        <v>13</v>
      </c>
      <c r="B28" s="13"/>
      <c r="C28" s="13"/>
      <c r="D28" s="5"/>
      <c r="E28" s="5"/>
      <c r="F28" s="5"/>
      <c r="G28" s="5"/>
      <c r="H28" s="5"/>
      <c r="I28" s="13"/>
      <c r="J28" s="13"/>
      <c r="K28" s="5"/>
      <c r="L28" s="5"/>
      <c r="M28" s="5"/>
      <c r="N28" s="5"/>
      <c r="O28" s="5"/>
      <c r="P28" s="13"/>
      <c r="Q28" s="12"/>
      <c r="R28" s="7"/>
      <c r="S28" s="7"/>
      <c r="T28" s="7"/>
      <c r="U28" s="7"/>
      <c r="V28" s="5"/>
      <c r="W28" s="13"/>
      <c r="X28" s="12"/>
      <c r="Y28" s="7"/>
      <c r="Z28" s="5"/>
      <c r="AA28" s="5"/>
      <c r="AB28" s="5"/>
      <c r="AC28" s="5"/>
      <c r="AD28" s="13"/>
      <c r="AE28" s="13"/>
      <c r="AF28" s="7"/>
    </row>
    <row r="29" spans="1:32" x14ac:dyDescent="0.3">
      <c r="A29" s="3" t="s">
        <v>1</v>
      </c>
      <c r="B29" s="13"/>
      <c r="C29" s="13"/>
      <c r="I29" s="13"/>
      <c r="J29" s="13"/>
      <c r="P29" s="13"/>
      <c r="Q29" s="12"/>
      <c r="R29" s="8"/>
      <c r="S29" s="8"/>
      <c r="T29" s="8"/>
      <c r="U29" s="8"/>
      <c r="W29" s="13"/>
      <c r="X29" s="12"/>
      <c r="Y29" s="8"/>
      <c r="AD29" s="13"/>
      <c r="AE29" s="13"/>
      <c r="AF29" s="8"/>
    </row>
    <row r="30" spans="1:32" x14ac:dyDescent="0.3">
      <c r="A30" s="4" t="s">
        <v>13</v>
      </c>
      <c r="B30" s="13"/>
      <c r="C30" s="13"/>
      <c r="D30" s="5"/>
      <c r="E30" s="5"/>
      <c r="F30" s="5"/>
      <c r="G30" s="5"/>
      <c r="H30" s="5"/>
      <c r="I30" s="13"/>
      <c r="J30" s="13"/>
      <c r="K30" s="5"/>
      <c r="L30" s="5"/>
      <c r="M30" s="5"/>
      <c r="N30" s="5"/>
      <c r="O30" s="5"/>
      <c r="P30" s="13"/>
      <c r="Q30" s="12"/>
      <c r="R30" s="7"/>
      <c r="S30" s="7"/>
      <c r="T30" s="7"/>
      <c r="U30" s="7"/>
      <c r="V30" s="5"/>
      <c r="W30" s="13"/>
      <c r="X30" s="12"/>
      <c r="Y30" s="7"/>
      <c r="Z30" s="5"/>
      <c r="AA30" s="5"/>
      <c r="AB30" s="5"/>
      <c r="AC30" s="5"/>
      <c r="AD30" s="13"/>
      <c r="AE30" s="13"/>
      <c r="AF30" s="7"/>
    </row>
    <row r="31" spans="1:32" x14ac:dyDescent="0.3">
      <c r="A31" s="3" t="s">
        <v>1</v>
      </c>
      <c r="B31" s="13"/>
      <c r="C31" s="13"/>
      <c r="I31" s="13"/>
      <c r="J31" s="13"/>
      <c r="P31" s="13"/>
      <c r="Q31" s="12"/>
      <c r="R31" s="8"/>
      <c r="S31" s="8"/>
      <c r="T31" s="8"/>
      <c r="U31" s="8"/>
      <c r="W31" s="13"/>
      <c r="X31" s="12"/>
      <c r="Y31" s="8"/>
      <c r="AD31" s="13"/>
      <c r="AE31" s="13"/>
      <c r="AF31" s="8"/>
    </row>
    <row r="32" spans="1:32" x14ac:dyDescent="0.3">
      <c r="A32" s="4" t="s">
        <v>13</v>
      </c>
      <c r="B32" s="13"/>
      <c r="C32" s="13"/>
      <c r="D32" s="5"/>
      <c r="E32" s="5"/>
      <c r="F32" s="5"/>
      <c r="G32" s="5"/>
      <c r="H32" s="5"/>
      <c r="I32" s="13"/>
      <c r="J32" s="13"/>
      <c r="K32" s="5"/>
      <c r="L32" s="5"/>
      <c r="M32" s="5"/>
      <c r="N32" s="5"/>
      <c r="O32" s="5"/>
      <c r="P32" s="13"/>
      <c r="Q32" s="12"/>
      <c r="R32" s="7"/>
      <c r="S32" s="7"/>
      <c r="T32" s="7"/>
      <c r="U32" s="7"/>
      <c r="V32" s="5"/>
      <c r="W32" s="13"/>
      <c r="X32" s="12"/>
      <c r="Y32" s="7"/>
      <c r="Z32" s="5"/>
      <c r="AA32" s="5"/>
      <c r="AB32" s="5"/>
      <c r="AC32" s="5"/>
      <c r="AD32" s="13"/>
      <c r="AE32" s="13"/>
      <c r="AF32" s="7"/>
    </row>
    <row r="33" spans="1:32" x14ac:dyDescent="0.3">
      <c r="A33" s="9" t="s">
        <v>59</v>
      </c>
      <c r="B33" s="14">
        <f>40-B4-B6-B8-B10-B12-B14-B16-B18-B20-B22-B24-B26-B28-B30-B32</f>
        <v>40</v>
      </c>
      <c r="C33" s="14">
        <f t="shared" ref="C33" si="1">40-C4-C6-C8-C10-C12-C14-C16-C18-C20-C22-C24-C26-C28-C30-C32</f>
        <v>40</v>
      </c>
      <c r="D33" s="14">
        <f>42.6-D4-D6-D8-D10-D12-D14-D16-D18-D20-D22-D24-D26-D28-D30-D32</f>
        <v>-3.9999999999997371E-2</v>
      </c>
      <c r="E33" s="14">
        <f t="shared" ref="E33:H33" si="2">42.6-E4-E6-E8-E10-E12-E14-E16-E18-E20-E22-E24-E26-E28-E30-E32</f>
        <v>0</v>
      </c>
      <c r="F33" s="14">
        <f t="shared" si="2"/>
        <v>3.5527136788005009E-15</v>
      </c>
      <c r="G33" s="14">
        <f t="shared" si="2"/>
        <v>2.0000000000001572E-2</v>
      </c>
      <c r="H33" s="14">
        <f t="shared" si="2"/>
        <v>-9.999999999999698E-2</v>
      </c>
      <c r="I33" s="14">
        <f t="shared" ref="I33:Q33" si="3">40.7-I4-I6-I8-I10-I12-I14-I16-I18-I20-I22-I24-I26-I28-I30-I32</f>
        <v>40.700000000000003</v>
      </c>
      <c r="J33" s="14">
        <f t="shared" si="3"/>
        <v>40.700000000000003</v>
      </c>
      <c r="K33" s="14">
        <f>37.7-K4-K6-K8-K10-K12-K14-K16-K18-K20-K22-K24-K26-K28-K30-K32</f>
        <v>1.3322676295501878E-15</v>
      </c>
      <c r="L33" s="14">
        <f>37.7-L4-L6-L8-L10-L12-L14-L16-L18-L20-L22-L24-L26-L28-L30-L32</f>
        <v>-1.2499999999999982</v>
      </c>
      <c r="M33" s="14">
        <f t="shared" ref="M33:O33" si="4">37.7-M4-M6-M8-M10-M12-M14-M16-M18-M20-M22-M24-M26-M28-M30-M32</f>
        <v>0.83000000000000362</v>
      </c>
      <c r="N33" s="14">
        <f t="shared" si="4"/>
        <v>3.5527136788005009E-15</v>
      </c>
      <c r="O33" s="14">
        <f t="shared" si="4"/>
        <v>-0.5999999999999952</v>
      </c>
      <c r="P33" s="14">
        <f t="shared" si="3"/>
        <v>40.700000000000003</v>
      </c>
      <c r="Q33" s="14">
        <f t="shared" si="3"/>
        <v>40.700000000000003</v>
      </c>
      <c r="R33" s="14">
        <f>37.7-R4-R6-R8-R10-R12-R14-R16-R18-R20-R22-R24-R26-R28-R30-R32</f>
        <v>4.6629367034256575E-15</v>
      </c>
      <c r="S33" s="14">
        <f t="shared" ref="S33:AF33" si="5">37.7-S4-S6-S8-S10-S12-S14-S16-S18-S20-S22-S24-S26-S28-S30-S32</f>
        <v>-4.9999999999997158E-2</v>
      </c>
      <c r="T33" s="14">
        <f t="shared" si="5"/>
        <v>1.5543122344752192E-15</v>
      </c>
      <c r="U33" s="10">
        <f t="shared" si="5"/>
        <v>14.600000000000001</v>
      </c>
      <c r="V33" s="10">
        <f t="shared" si="5"/>
        <v>24.7</v>
      </c>
      <c r="W33" s="14">
        <f t="shared" si="5"/>
        <v>37.700000000000003</v>
      </c>
      <c r="X33" s="14">
        <f t="shared" si="5"/>
        <v>37.700000000000003</v>
      </c>
      <c r="Y33" s="10">
        <f t="shared" si="5"/>
        <v>21.060000000000002</v>
      </c>
      <c r="Z33" s="10">
        <f t="shared" si="5"/>
        <v>19.520000000000003</v>
      </c>
      <c r="AA33" s="10">
        <f t="shared" si="5"/>
        <v>11.350000000000001</v>
      </c>
      <c r="AB33" s="14">
        <f t="shared" si="5"/>
        <v>-2.9999999999997584E-2</v>
      </c>
      <c r="AC33" s="10">
        <f t="shared" si="5"/>
        <v>3.2200000000000011</v>
      </c>
      <c r="AD33" s="14">
        <f t="shared" si="5"/>
        <v>37.700000000000003</v>
      </c>
      <c r="AE33" s="14">
        <f t="shared" si="5"/>
        <v>37.700000000000003</v>
      </c>
      <c r="AF33" s="14">
        <f t="shared" si="5"/>
        <v>2.6645352591003757E-15</v>
      </c>
    </row>
    <row r="34" spans="1:32" x14ac:dyDescent="0.3">
      <c r="R34" s="70" t="s">
        <v>243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</row>
  </sheetData>
  <conditionalFormatting sqref="B2:AF2">
    <cfRule type="cellIs" dxfId="19" priority="1" operator="equal">
      <formula>40</formula>
    </cfRule>
    <cfRule type="cellIs" dxfId="18" priority="2" operator="greaterThan">
      <formula>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7FB0-81D4-458D-A912-46C076438857}">
  <dimension ref="A1:AE36"/>
  <sheetViews>
    <sheetView workbookViewId="0">
      <selection activeCell="AD14" sqref="AD14"/>
    </sheetView>
  </sheetViews>
  <sheetFormatPr defaultRowHeight="14.4" x14ac:dyDescent="0.3"/>
  <cols>
    <col min="1" max="1" width="16" bestFit="1" customWidth="1"/>
    <col min="2" max="2" width="9.44140625" bestFit="1" customWidth="1"/>
    <col min="9" max="9" width="9.44140625" bestFit="1" customWidth="1"/>
    <col min="16" max="18" width="9.44140625" bestFit="1" customWidth="1"/>
    <col min="23" max="23" width="9.44140625" bestFit="1" customWidth="1"/>
    <col min="30" max="30" width="9.44140625" bestFit="1" customWidth="1"/>
  </cols>
  <sheetData>
    <row r="1" spans="1:31" x14ac:dyDescent="0.3">
      <c r="A1" s="3"/>
      <c r="B1" s="6">
        <v>45748</v>
      </c>
      <c r="C1" s="6">
        <v>45749</v>
      </c>
      <c r="D1" s="6">
        <v>45750</v>
      </c>
      <c r="E1" s="6">
        <v>45751</v>
      </c>
      <c r="F1" s="11">
        <v>45752</v>
      </c>
      <c r="G1" s="11">
        <v>45753</v>
      </c>
      <c r="H1" s="6">
        <v>45754</v>
      </c>
      <c r="I1" s="6">
        <v>45755</v>
      </c>
      <c r="J1" s="6">
        <v>45756</v>
      </c>
      <c r="K1" s="6">
        <v>45757</v>
      </c>
      <c r="L1" s="6">
        <v>45758</v>
      </c>
      <c r="M1" s="11">
        <v>45759</v>
      </c>
      <c r="N1" s="11">
        <v>45760</v>
      </c>
      <c r="O1" s="6">
        <v>45761</v>
      </c>
      <c r="P1" s="6">
        <v>45762</v>
      </c>
      <c r="Q1" s="6">
        <v>45763</v>
      </c>
      <c r="R1" s="6">
        <v>45764</v>
      </c>
      <c r="S1" s="51">
        <v>45765</v>
      </c>
      <c r="T1" s="11">
        <v>45766</v>
      </c>
      <c r="U1" s="11">
        <v>45767</v>
      </c>
      <c r="V1" s="51">
        <v>45768</v>
      </c>
      <c r="W1" s="6">
        <v>45769</v>
      </c>
      <c r="X1" s="6">
        <v>45770</v>
      </c>
      <c r="Y1" s="6">
        <v>45771</v>
      </c>
      <c r="Z1" s="51">
        <v>45772</v>
      </c>
      <c r="AA1" s="11">
        <v>45773</v>
      </c>
      <c r="AB1" s="11">
        <v>45774</v>
      </c>
      <c r="AC1" s="6">
        <v>45775</v>
      </c>
      <c r="AD1" s="6">
        <v>45776</v>
      </c>
      <c r="AE1" s="6">
        <v>45777</v>
      </c>
    </row>
    <row r="2" spans="1:31" x14ac:dyDescent="0.3">
      <c r="A2" s="1" t="s">
        <v>0</v>
      </c>
      <c r="B2" s="2">
        <f>B4+B6+B8+B10+B12+B14+B16+B18+B20+B22+B24+B26+B28+B30+B32</f>
        <v>32</v>
      </c>
      <c r="C2" s="2">
        <f>C4+C6+C8+C10+C12+C14+C16+C18+C20+C22+C24+C26+C28+C30+C32</f>
        <v>25.4</v>
      </c>
      <c r="D2" s="2">
        <f t="shared" ref="D2:AE2" si="0">D4+D6+D8+D10+D12+D14+D16+D18+D20+D22+D24+D26+D28+D30+D32</f>
        <v>13.2</v>
      </c>
      <c r="E2" s="2">
        <f t="shared" si="0"/>
        <v>32.799999999999997</v>
      </c>
      <c r="F2" s="12">
        <f t="shared" si="0"/>
        <v>0</v>
      </c>
      <c r="G2" s="12">
        <f t="shared" si="0"/>
        <v>0</v>
      </c>
      <c r="H2" s="2">
        <f t="shared" si="0"/>
        <v>11.6</v>
      </c>
      <c r="I2" s="2">
        <f t="shared" si="0"/>
        <v>32.5</v>
      </c>
      <c r="J2" s="2">
        <f t="shared" si="0"/>
        <v>25.1</v>
      </c>
      <c r="K2" s="2">
        <f t="shared" si="0"/>
        <v>8.94</v>
      </c>
      <c r="L2" s="2">
        <f t="shared" si="0"/>
        <v>18.399999999999999</v>
      </c>
      <c r="M2" s="12">
        <f t="shared" si="0"/>
        <v>0</v>
      </c>
      <c r="N2" s="12">
        <f t="shared" si="0"/>
        <v>0</v>
      </c>
      <c r="O2" s="2">
        <f t="shared" si="0"/>
        <v>24</v>
      </c>
      <c r="P2" s="79">
        <f t="shared" si="0"/>
        <v>13.37</v>
      </c>
      <c r="Q2" s="2">
        <f t="shared" si="0"/>
        <v>9.8999999999999986</v>
      </c>
      <c r="R2" s="2">
        <f t="shared" si="0"/>
        <v>17.25</v>
      </c>
      <c r="S2" s="52">
        <f>S4+S6+S8+S10+S12+S14+S16+S18+S20+S22+S24+S26+S28+S30+S32</f>
        <v>0</v>
      </c>
      <c r="T2" s="12">
        <f>T4+T6+T8+T10+T12+T14+T16+T18+T20+T22+T24+T26+T28+T30+T32</f>
        <v>0</v>
      </c>
      <c r="U2" s="12">
        <f t="shared" si="0"/>
        <v>0</v>
      </c>
      <c r="V2" s="52">
        <f t="shared" si="0"/>
        <v>0</v>
      </c>
      <c r="W2" s="2">
        <f t="shared" si="0"/>
        <v>8.120000000000001</v>
      </c>
      <c r="X2" s="2">
        <f t="shared" si="0"/>
        <v>18.599999999999998</v>
      </c>
      <c r="Y2" s="2">
        <f t="shared" si="0"/>
        <v>15.55</v>
      </c>
      <c r="Z2" s="52">
        <f t="shared" si="0"/>
        <v>0</v>
      </c>
      <c r="AA2" s="12">
        <f>AA4+AA6+AA8+AA10+AA12+AA14+AA16+AA18+AA20+AA22+AA24+AA26+AA28+AA30+AA32</f>
        <v>0</v>
      </c>
      <c r="AB2" s="12">
        <f t="shared" si="0"/>
        <v>0</v>
      </c>
      <c r="AC2" s="2">
        <f t="shared" si="0"/>
        <v>28.8</v>
      </c>
      <c r="AD2" s="2">
        <f t="shared" si="0"/>
        <v>20.799999999999997</v>
      </c>
      <c r="AE2" s="2">
        <f t="shared" si="0"/>
        <v>6.8699999999999992</v>
      </c>
    </row>
    <row r="3" spans="1:31" x14ac:dyDescent="0.3">
      <c r="A3" s="3" t="s">
        <v>1</v>
      </c>
      <c r="B3" s="21" t="s">
        <v>2</v>
      </c>
      <c r="C3" t="s">
        <v>244</v>
      </c>
      <c r="D3" t="s">
        <v>245</v>
      </c>
      <c r="E3" t="s">
        <v>246</v>
      </c>
      <c r="F3" s="13"/>
      <c r="G3" s="13"/>
      <c r="H3" s="21" t="s">
        <v>2</v>
      </c>
      <c r="I3" t="s">
        <v>247</v>
      </c>
      <c r="J3" t="s">
        <v>248</v>
      </c>
      <c r="K3" t="s">
        <v>249</v>
      </c>
      <c r="M3" s="13"/>
      <c r="N3" s="13"/>
      <c r="O3" s="21" t="s">
        <v>2</v>
      </c>
      <c r="P3" s="17" t="s">
        <v>250</v>
      </c>
      <c r="Q3" s="8" t="s">
        <v>251</v>
      </c>
      <c r="R3" t="s">
        <v>252</v>
      </c>
      <c r="S3" s="52"/>
      <c r="T3" s="12"/>
      <c r="U3" s="12"/>
      <c r="V3" s="53"/>
      <c r="W3" s="21" t="s">
        <v>2</v>
      </c>
      <c r="X3" s="8">
        <v>9589</v>
      </c>
      <c r="Y3" s="8" t="s">
        <v>253</v>
      </c>
      <c r="Z3" s="53"/>
      <c r="AA3" s="13"/>
      <c r="AB3" s="13"/>
      <c r="AC3" s="21" t="s">
        <v>2</v>
      </c>
      <c r="AD3" s="17" t="s">
        <v>254</v>
      </c>
    </row>
    <row r="4" spans="1:31" x14ac:dyDescent="0.3">
      <c r="A4" s="4" t="s">
        <v>13</v>
      </c>
      <c r="B4" s="22">
        <v>20</v>
      </c>
      <c r="C4" s="63">
        <v>5.9</v>
      </c>
      <c r="D4" s="5">
        <v>8.6</v>
      </c>
      <c r="E4" s="5">
        <v>4.3</v>
      </c>
      <c r="F4" s="13"/>
      <c r="G4" s="13"/>
      <c r="H4" s="22">
        <v>3</v>
      </c>
      <c r="I4" s="5">
        <v>3.9</v>
      </c>
      <c r="J4" s="5">
        <v>4.3</v>
      </c>
      <c r="K4" s="5">
        <v>2.77</v>
      </c>
      <c r="L4" s="5"/>
      <c r="M4" s="13"/>
      <c r="N4" s="13"/>
      <c r="O4" s="22">
        <v>19</v>
      </c>
      <c r="P4" s="17">
        <v>2.6</v>
      </c>
      <c r="Q4" s="7">
        <v>4.3</v>
      </c>
      <c r="R4" s="65">
        <v>2.6</v>
      </c>
      <c r="S4" s="52"/>
      <c r="T4" s="12"/>
      <c r="U4" s="12"/>
      <c r="V4" s="53"/>
      <c r="W4" s="22">
        <v>0</v>
      </c>
      <c r="X4" s="8">
        <v>3.9</v>
      </c>
      <c r="Y4" s="65">
        <v>6.65</v>
      </c>
      <c r="Z4" s="53"/>
      <c r="AA4" s="13"/>
      <c r="AB4" s="13"/>
      <c r="AC4" s="22">
        <v>20</v>
      </c>
      <c r="AD4" s="17">
        <v>2.2000000000000002</v>
      </c>
      <c r="AE4" s="5"/>
    </row>
    <row r="5" spans="1:31" x14ac:dyDescent="0.3">
      <c r="A5" s="3" t="s">
        <v>1</v>
      </c>
      <c r="B5" s="23" t="s">
        <v>14</v>
      </c>
      <c r="C5" t="s">
        <v>255</v>
      </c>
      <c r="D5" t="s">
        <v>256</v>
      </c>
      <c r="E5" t="s">
        <v>257</v>
      </c>
      <c r="F5" s="13"/>
      <c r="G5" s="13"/>
      <c r="H5" s="23" t="s">
        <v>14</v>
      </c>
      <c r="I5" s="17" t="s">
        <v>258</v>
      </c>
      <c r="J5" t="s">
        <v>259</v>
      </c>
      <c r="K5" t="s">
        <v>260</v>
      </c>
      <c r="L5" t="s">
        <v>261</v>
      </c>
      <c r="M5" s="13"/>
      <c r="N5" s="13"/>
      <c r="O5" s="23" t="s">
        <v>14</v>
      </c>
      <c r="Q5" s="8"/>
      <c r="R5" s="8"/>
      <c r="S5" s="52"/>
      <c r="T5" s="12"/>
      <c r="U5" s="12"/>
      <c r="V5" s="53"/>
      <c r="W5" s="23" t="s">
        <v>14</v>
      </c>
      <c r="X5" s="8" t="s">
        <v>262</v>
      </c>
      <c r="Y5" s="8" t="s">
        <v>263</v>
      </c>
      <c r="Z5" s="53"/>
      <c r="AA5" s="13"/>
      <c r="AB5" s="13"/>
      <c r="AC5" s="23" t="s">
        <v>14</v>
      </c>
      <c r="AD5" t="s">
        <v>264</v>
      </c>
      <c r="AE5" t="s">
        <v>265</v>
      </c>
    </row>
    <row r="6" spans="1:31" x14ac:dyDescent="0.3">
      <c r="A6" s="4" t="s">
        <v>13</v>
      </c>
      <c r="B6" s="24">
        <v>5</v>
      </c>
      <c r="C6" s="5">
        <v>3.5</v>
      </c>
      <c r="D6" s="5">
        <v>4.5999999999999996</v>
      </c>
      <c r="E6" s="5">
        <v>4.3</v>
      </c>
      <c r="F6" s="13"/>
      <c r="G6" s="13"/>
      <c r="H6" s="24">
        <v>5</v>
      </c>
      <c r="I6" s="18">
        <v>1.6</v>
      </c>
      <c r="J6" s="5">
        <v>18.7</v>
      </c>
      <c r="K6" s="63">
        <v>2.42</v>
      </c>
      <c r="L6" s="5">
        <v>13.2</v>
      </c>
      <c r="M6" s="13"/>
      <c r="N6" s="13"/>
      <c r="O6" s="24">
        <v>5</v>
      </c>
      <c r="P6" s="5"/>
      <c r="Q6" s="65"/>
      <c r="R6" s="65"/>
      <c r="S6" s="52"/>
      <c r="T6" s="12"/>
      <c r="U6" s="12"/>
      <c r="V6" s="53"/>
      <c r="W6" s="24">
        <v>5</v>
      </c>
      <c r="X6" s="7">
        <v>3.9</v>
      </c>
      <c r="Y6" s="7">
        <v>6.5</v>
      </c>
      <c r="Z6" s="53"/>
      <c r="AA6" s="13"/>
      <c r="AB6" s="13"/>
      <c r="AC6" s="24">
        <v>5</v>
      </c>
      <c r="AD6" s="5">
        <v>7</v>
      </c>
      <c r="AE6" s="5">
        <v>4.0999999999999996</v>
      </c>
    </row>
    <row r="7" spans="1:31" x14ac:dyDescent="0.3">
      <c r="A7" s="3" t="s">
        <v>1</v>
      </c>
      <c r="B7" t="s">
        <v>266</v>
      </c>
      <c r="C7" t="s">
        <v>267</v>
      </c>
      <c r="E7" t="s">
        <v>268</v>
      </c>
      <c r="F7" s="13"/>
      <c r="G7" s="13"/>
      <c r="I7" t="s">
        <v>269</v>
      </c>
      <c r="J7" t="s">
        <v>270</v>
      </c>
      <c r="K7" t="s">
        <v>271</v>
      </c>
      <c r="L7" t="s">
        <v>272</v>
      </c>
      <c r="M7" s="13"/>
      <c r="N7" s="13"/>
      <c r="P7" t="s">
        <v>273</v>
      </c>
      <c r="Q7" s="8" t="s">
        <v>274</v>
      </c>
      <c r="R7" s="8" t="s">
        <v>275</v>
      </c>
      <c r="S7" s="52"/>
      <c r="T7" s="12"/>
      <c r="U7" s="12"/>
      <c r="V7" s="53"/>
      <c r="X7" s="8" t="s">
        <v>144</v>
      </c>
      <c r="Y7" s="8"/>
      <c r="Z7" s="53"/>
      <c r="AA7" s="13"/>
      <c r="AB7" s="13"/>
      <c r="AC7" t="s">
        <v>276</v>
      </c>
      <c r="AD7" t="s">
        <v>277</v>
      </c>
      <c r="AE7" s="27" t="s">
        <v>278</v>
      </c>
    </row>
    <row r="8" spans="1:31" x14ac:dyDescent="0.3">
      <c r="A8" s="4" t="s">
        <v>13</v>
      </c>
      <c r="B8" s="5">
        <v>3.6</v>
      </c>
      <c r="C8" s="5">
        <v>4.0999999999999996</v>
      </c>
      <c r="D8" s="5"/>
      <c r="E8" s="5">
        <v>4.3</v>
      </c>
      <c r="F8" s="13"/>
      <c r="G8" s="13"/>
      <c r="H8" s="5"/>
      <c r="I8" s="5">
        <v>5</v>
      </c>
      <c r="J8" s="5">
        <v>2.1</v>
      </c>
      <c r="K8" s="5">
        <v>3.75</v>
      </c>
      <c r="L8" s="5">
        <v>5.2</v>
      </c>
      <c r="M8" s="13"/>
      <c r="N8" s="13"/>
      <c r="O8" s="5"/>
      <c r="P8" s="5">
        <v>6</v>
      </c>
      <c r="Q8" s="7">
        <v>5.6</v>
      </c>
      <c r="R8" s="7">
        <v>1.6</v>
      </c>
      <c r="S8" s="52"/>
      <c r="T8" s="12"/>
      <c r="U8" s="12"/>
      <c r="V8" s="53"/>
      <c r="W8" s="5"/>
      <c r="X8" s="7">
        <v>4.5999999999999996</v>
      </c>
      <c r="Y8" s="7"/>
      <c r="Z8" s="53"/>
      <c r="AA8" s="13"/>
      <c r="AB8" s="13"/>
      <c r="AC8" s="5">
        <v>3.8</v>
      </c>
      <c r="AD8" s="5">
        <v>3</v>
      </c>
      <c r="AE8" s="5">
        <v>2.77</v>
      </c>
    </row>
    <row r="9" spans="1:31" x14ac:dyDescent="0.3">
      <c r="A9" s="3" t="s">
        <v>1</v>
      </c>
      <c r="B9" s="17" t="s">
        <v>279</v>
      </c>
      <c r="E9" t="s">
        <v>280</v>
      </c>
      <c r="F9" s="13"/>
      <c r="G9" s="13"/>
      <c r="H9" t="s">
        <v>281</v>
      </c>
      <c r="I9" t="s">
        <v>282</v>
      </c>
      <c r="M9" s="13"/>
      <c r="N9" s="13"/>
      <c r="P9" t="s">
        <v>283</v>
      </c>
      <c r="Q9" s="8"/>
      <c r="R9" s="8" t="s">
        <v>284</v>
      </c>
      <c r="S9" s="52"/>
      <c r="T9" s="12"/>
      <c r="U9" s="12"/>
      <c r="V9" s="53"/>
      <c r="W9" s="8"/>
      <c r="X9" s="8" t="s">
        <v>25</v>
      </c>
      <c r="Y9" s="19" t="s">
        <v>285</v>
      </c>
      <c r="Z9" s="53"/>
      <c r="AA9" s="13"/>
      <c r="AB9" s="13"/>
      <c r="AD9" t="s">
        <v>286</v>
      </c>
    </row>
    <row r="10" spans="1:31" x14ac:dyDescent="0.3">
      <c r="A10" s="4" t="s">
        <v>13</v>
      </c>
      <c r="B10" s="18">
        <v>1.2</v>
      </c>
      <c r="C10" s="5"/>
      <c r="D10" s="5"/>
      <c r="E10" s="5">
        <v>4.3</v>
      </c>
      <c r="F10" s="13"/>
      <c r="G10" s="13"/>
      <c r="H10" s="5">
        <v>3.6</v>
      </c>
      <c r="I10" s="5">
        <v>3</v>
      </c>
      <c r="J10" s="5"/>
      <c r="K10" s="5"/>
      <c r="L10" s="5"/>
      <c r="M10" s="13"/>
      <c r="N10" s="13"/>
      <c r="O10" s="5"/>
      <c r="P10" s="5">
        <v>2.77</v>
      </c>
      <c r="Q10" s="7"/>
      <c r="R10" s="7">
        <v>4.95</v>
      </c>
      <c r="S10" s="52"/>
      <c r="T10" s="12"/>
      <c r="U10" s="12"/>
      <c r="V10" s="53"/>
      <c r="W10" s="63"/>
      <c r="X10" s="7">
        <v>6.2</v>
      </c>
      <c r="Y10" s="20">
        <v>2.4</v>
      </c>
      <c r="Z10" s="53"/>
      <c r="AA10" s="13"/>
      <c r="AB10" s="13"/>
      <c r="AC10" s="5"/>
      <c r="AD10" s="5">
        <v>2.6</v>
      </c>
      <c r="AE10" s="5"/>
    </row>
    <row r="11" spans="1:31" x14ac:dyDescent="0.3">
      <c r="A11" s="3" t="s">
        <v>1</v>
      </c>
      <c r="B11" t="s">
        <v>287</v>
      </c>
      <c r="C11" t="s">
        <v>288</v>
      </c>
      <c r="E11" t="s">
        <v>289</v>
      </c>
      <c r="F11" s="13"/>
      <c r="G11" s="13"/>
      <c r="I11" t="s">
        <v>290</v>
      </c>
      <c r="M11" s="13"/>
      <c r="N11" s="13"/>
      <c r="P11" t="s">
        <v>291</v>
      </c>
      <c r="Q11" s="8"/>
      <c r="R11" s="8" t="s">
        <v>292</v>
      </c>
      <c r="S11" s="52"/>
      <c r="T11" s="12"/>
      <c r="U11" s="12"/>
      <c r="V11" s="53"/>
      <c r="W11" t="s">
        <v>293</v>
      </c>
      <c r="X11" s="8"/>
      <c r="Y11" s="8"/>
      <c r="Z11" s="53"/>
      <c r="AA11" s="13"/>
      <c r="AB11" s="13"/>
      <c r="AD11" t="s">
        <v>294</v>
      </c>
    </row>
    <row r="12" spans="1:31" x14ac:dyDescent="0.3">
      <c r="A12" s="4" t="s">
        <v>13</v>
      </c>
      <c r="B12" s="5">
        <v>2.2000000000000002</v>
      </c>
      <c r="C12" s="5">
        <v>4.3</v>
      </c>
      <c r="D12" s="5"/>
      <c r="E12" s="5">
        <v>5.2</v>
      </c>
      <c r="F12" s="13"/>
      <c r="G12" s="13"/>
      <c r="H12" s="5"/>
      <c r="I12" s="5">
        <v>19</v>
      </c>
      <c r="J12" s="5"/>
      <c r="K12" s="5"/>
      <c r="L12" s="5"/>
      <c r="M12" s="13"/>
      <c r="N12" s="13"/>
      <c r="O12" s="5"/>
      <c r="P12" s="5">
        <v>2</v>
      </c>
      <c r="Q12" s="7"/>
      <c r="R12" s="7">
        <v>2</v>
      </c>
      <c r="S12" s="52"/>
      <c r="T12" s="12"/>
      <c r="U12" s="12"/>
      <c r="V12" s="53"/>
      <c r="W12" s="5">
        <v>3.12</v>
      </c>
      <c r="X12" s="7"/>
      <c r="Y12" s="7"/>
      <c r="Z12" s="53"/>
      <c r="AA12" s="13"/>
      <c r="AB12" s="13"/>
      <c r="AC12" s="5"/>
      <c r="AD12" s="5">
        <v>2.6</v>
      </c>
      <c r="AE12" s="5"/>
    </row>
    <row r="13" spans="1:31" x14ac:dyDescent="0.3">
      <c r="A13" s="3" t="s">
        <v>1</v>
      </c>
      <c r="C13" t="s">
        <v>295</v>
      </c>
      <c r="E13" t="s">
        <v>296</v>
      </c>
      <c r="F13" s="13"/>
      <c r="G13" s="13"/>
      <c r="M13" s="13"/>
      <c r="N13" s="13"/>
      <c r="Q13" s="8"/>
      <c r="R13" s="8" t="s">
        <v>297</v>
      </c>
      <c r="S13" s="52"/>
      <c r="T13" s="12"/>
      <c r="U13" s="12"/>
      <c r="V13" s="53"/>
      <c r="X13" s="8"/>
      <c r="Y13" s="8"/>
      <c r="Z13" s="53"/>
      <c r="AA13" s="13"/>
      <c r="AB13" s="13"/>
    </row>
    <row r="14" spans="1:31" x14ac:dyDescent="0.3">
      <c r="A14" s="4" t="s">
        <v>13</v>
      </c>
      <c r="B14" s="5"/>
      <c r="C14" s="5">
        <v>5.2</v>
      </c>
      <c r="D14" s="5"/>
      <c r="E14" s="5">
        <v>5.2</v>
      </c>
      <c r="F14" s="13"/>
      <c r="G14" s="13"/>
      <c r="H14" s="5"/>
      <c r="I14" s="5"/>
      <c r="J14" s="5"/>
      <c r="K14" s="5"/>
      <c r="L14" s="5"/>
      <c r="M14" s="13"/>
      <c r="N14" s="13"/>
      <c r="O14" s="5"/>
      <c r="P14" s="5"/>
      <c r="Q14" s="7"/>
      <c r="R14" s="7">
        <v>2.6</v>
      </c>
      <c r="S14" s="52"/>
      <c r="T14" s="12"/>
      <c r="U14" s="12"/>
      <c r="V14" s="53"/>
      <c r="W14" s="5"/>
      <c r="X14" s="7"/>
      <c r="Y14" s="7"/>
      <c r="Z14" s="53"/>
      <c r="AA14" s="13"/>
      <c r="AB14" s="13"/>
      <c r="AC14" s="5"/>
      <c r="AD14" s="5"/>
      <c r="AE14" s="5"/>
    </row>
    <row r="15" spans="1:31" x14ac:dyDescent="0.3">
      <c r="A15" s="3" t="s">
        <v>1</v>
      </c>
      <c r="C15" t="s">
        <v>298</v>
      </c>
      <c r="E15" t="s">
        <v>281</v>
      </c>
      <c r="F15" s="13"/>
      <c r="G15" s="13"/>
      <c r="M15" s="13"/>
      <c r="N15" s="13"/>
      <c r="Q15" s="8"/>
      <c r="R15" s="8" t="s">
        <v>299</v>
      </c>
      <c r="S15" s="52"/>
      <c r="T15" s="12"/>
      <c r="U15" s="12"/>
      <c r="V15" s="53"/>
      <c r="X15" s="8"/>
      <c r="Y15" s="8"/>
      <c r="Z15" s="53"/>
      <c r="AA15" s="13"/>
      <c r="AB15" s="13"/>
      <c r="AD15" t="s">
        <v>300</v>
      </c>
    </row>
    <row r="16" spans="1:31" x14ac:dyDescent="0.3">
      <c r="A16" s="4" t="s">
        <v>13</v>
      </c>
      <c r="B16" s="5"/>
      <c r="C16" s="5">
        <v>2.4</v>
      </c>
      <c r="D16" s="5"/>
      <c r="E16" s="5">
        <v>5.2</v>
      </c>
      <c r="F16" s="13"/>
      <c r="G16" s="13"/>
      <c r="H16" s="5"/>
      <c r="I16" s="5"/>
      <c r="J16" s="5"/>
      <c r="K16" s="5"/>
      <c r="L16" s="5"/>
      <c r="M16" s="13"/>
      <c r="N16" s="13"/>
      <c r="O16" s="5"/>
      <c r="P16" s="5"/>
      <c r="Q16" s="7"/>
      <c r="R16" s="7">
        <v>1.9</v>
      </c>
      <c r="S16" s="52"/>
      <c r="T16" s="12"/>
      <c r="U16" s="12"/>
      <c r="V16" s="53"/>
      <c r="W16" s="5"/>
      <c r="X16" s="7"/>
      <c r="Y16" s="7"/>
      <c r="Z16" s="53"/>
      <c r="AA16" s="13"/>
      <c r="AB16" s="13"/>
      <c r="AC16" s="5"/>
      <c r="AD16" s="5">
        <v>2.9</v>
      </c>
      <c r="AE16" s="5"/>
    </row>
    <row r="17" spans="1:31" x14ac:dyDescent="0.3">
      <c r="A17" s="3" t="s">
        <v>1</v>
      </c>
      <c r="F17" s="13"/>
      <c r="G17" s="13"/>
      <c r="M17" s="13"/>
      <c r="N17" s="13"/>
      <c r="Q17" s="8"/>
      <c r="R17" s="8" t="s">
        <v>301</v>
      </c>
      <c r="S17" s="52"/>
      <c r="T17" s="12"/>
      <c r="U17" s="12"/>
      <c r="V17" s="53"/>
      <c r="X17" s="8"/>
      <c r="Y17" s="8"/>
      <c r="Z17" s="53"/>
      <c r="AA17" s="13"/>
      <c r="AB17" s="13"/>
      <c r="AD17" t="s">
        <v>302</v>
      </c>
    </row>
    <row r="18" spans="1:31" x14ac:dyDescent="0.3">
      <c r="A18" s="4" t="s">
        <v>13</v>
      </c>
      <c r="B18" s="5"/>
      <c r="C18" s="5"/>
      <c r="D18" s="5"/>
      <c r="E18" s="5"/>
      <c r="F18" s="13"/>
      <c r="G18" s="13"/>
      <c r="H18" s="5"/>
      <c r="I18" s="5"/>
      <c r="J18" s="5"/>
      <c r="K18" s="5"/>
      <c r="L18" s="5"/>
      <c r="M18" s="13"/>
      <c r="N18" s="13"/>
      <c r="O18" s="5"/>
      <c r="P18" s="5"/>
      <c r="Q18" s="7"/>
      <c r="R18" s="7">
        <v>1.6</v>
      </c>
      <c r="S18" s="52"/>
      <c r="T18" s="12"/>
      <c r="U18" s="12"/>
      <c r="V18" s="53"/>
      <c r="W18" s="5"/>
      <c r="X18" s="7"/>
      <c r="Y18" s="7"/>
      <c r="Z18" s="53"/>
      <c r="AA18" s="13"/>
      <c r="AB18" s="13"/>
      <c r="AC18" s="5"/>
      <c r="AD18" s="5">
        <v>0.5</v>
      </c>
      <c r="AE18" s="5"/>
    </row>
    <row r="19" spans="1:31" x14ac:dyDescent="0.3">
      <c r="A19" s="3" t="s">
        <v>1</v>
      </c>
      <c r="F19" s="13"/>
      <c r="G19" s="13"/>
      <c r="M19" s="13"/>
      <c r="N19" s="13"/>
      <c r="Q19" s="8"/>
      <c r="R19" s="8"/>
      <c r="S19" s="52"/>
      <c r="T19" s="12"/>
      <c r="U19" s="12"/>
      <c r="V19" s="53"/>
      <c r="X19" s="8"/>
      <c r="Y19" s="8"/>
      <c r="Z19" s="53"/>
      <c r="AA19" s="13"/>
      <c r="AB19" s="13"/>
    </row>
    <row r="20" spans="1:31" x14ac:dyDescent="0.3">
      <c r="A20" s="4" t="s">
        <v>13</v>
      </c>
      <c r="B20" s="5"/>
      <c r="C20" s="5"/>
      <c r="D20" s="5"/>
      <c r="E20" s="5"/>
      <c r="F20" s="13"/>
      <c r="G20" s="13"/>
      <c r="H20" s="5"/>
      <c r="I20" s="5"/>
      <c r="J20" s="5"/>
      <c r="K20" s="5"/>
      <c r="L20" s="5"/>
      <c r="M20" s="13"/>
      <c r="N20" s="13"/>
      <c r="O20" s="5"/>
      <c r="P20" s="5"/>
      <c r="Q20" s="7"/>
      <c r="R20" s="7"/>
      <c r="S20" s="52"/>
      <c r="T20" s="12"/>
      <c r="U20" s="12"/>
      <c r="V20" s="53"/>
      <c r="W20" s="5"/>
      <c r="X20" s="7"/>
      <c r="Y20" s="7"/>
      <c r="Z20" s="53"/>
      <c r="AA20" s="13"/>
      <c r="AB20" s="13"/>
      <c r="AC20" s="5"/>
      <c r="AD20" s="5"/>
      <c r="AE20" s="5"/>
    </row>
    <row r="21" spans="1:31" x14ac:dyDescent="0.3">
      <c r="A21" s="3" t="s">
        <v>1</v>
      </c>
      <c r="F21" s="13"/>
      <c r="G21" s="13"/>
      <c r="M21" s="13"/>
      <c r="N21" s="13"/>
      <c r="Q21" s="8"/>
      <c r="R21" s="8"/>
      <c r="S21" s="52"/>
      <c r="T21" s="12"/>
      <c r="U21" s="12"/>
      <c r="V21" s="53"/>
      <c r="X21" s="8"/>
      <c r="Y21" s="8"/>
      <c r="Z21" s="53"/>
      <c r="AA21" s="13"/>
      <c r="AB21" s="13"/>
    </row>
    <row r="22" spans="1:31" x14ac:dyDescent="0.3">
      <c r="A22" s="4" t="s">
        <v>13</v>
      </c>
      <c r="B22" s="5"/>
      <c r="C22" s="5"/>
      <c r="D22" s="5"/>
      <c r="E22" s="5"/>
      <c r="F22" s="13"/>
      <c r="G22" s="13"/>
      <c r="H22" s="5"/>
      <c r="I22" s="5"/>
      <c r="J22" s="5"/>
      <c r="K22" s="5"/>
      <c r="L22" s="5"/>
      <c r="M22" s="13"/>
      <c r="N22" s="13"/>
      <c r="O22" s="5"/>
      <c r="P22" s="5"/>
      <c r="Q22" s="7"/>
      <c r="R22" s="7"/>
      <c r="S22" s="52"/>
      <c r="T22" s="12"/>
      <c r="U22" s="12"/>
      <c r="V22" s="53"/>
      <c r="W22" s="5"/>
      <c r="X22" s="7"/>
      <c r="Y22" s="7"/>
      <c r="Z22" s="53"/>
      <c r="AA22" s="13"/>
      <c r="AB22" s="13"/>
      <c r="AC22" s="5"/>
      <c r="AD22" s="5"/>
      <c r="AE22" s="5"/>
    </row>
    <row r="23" spans="1:31" x14ac:dyDescent="0.3">
      <c r="A23" s="3" t="s">
        <v>1</v>
      </c>
      <c r="F23" s="13"/>
      <c r="G23" s="13"/>
      <c r="M23" s="13"/>
      <c r="N23" s="13"/>
      <c r="Q23" s="8"/>
      <c r="R23" s="8"/>
      <c r="S23" s="52"/>
      <c r="T23" s="12"/>
      <c r="U23" s="12"/>
      <c r="V23" s="53"/>
      <c r="X23" s="8"/>
      <c r="Y23" s="8"/>
      <c r="Z23" s="53"/>
      <c r="AA23" s="13"/>
      <c r="AB23" s="13"/>
    </row>
    <row r="24" spans="1:31" x14ac:dyDescent="0.3">
      <c r="A24" s="4" t="s">
        <v>13</v>
      </c>
      <c r="B24" s="5"/>
      <c r="C24" s="5"/>
      <c r="D24" s="5"/>
      <c r="E24" s="5"/>
      <c r="F24" s="13"/>
      <c r="G24" s="13"/>
      <c r="H24" s="5"/>
      <c r="I24" s="5"/>
      <c r="J24" s="5"/>
      <c r="K24" s="5"/>
      <c r="L24" s="5"/>
      <c r="M24" s="13"/>
      <c r="N24" s="13"/>
      <c r="O24" s="5"/>
      <c r="P24" s="5"/>
      <c r="Q24" s="7"/>
      <c r="R24" s="7"/>
      <c r="S24" s="52"/>
      <c r="T24" s="12"/>
      <c r="U24" s="12"/>
      <c r="V24" s="53"/>
      <c r="W24" s="5"/>
      <c r="X24" s="7"/>
      <c r="Y24" s="7"/>
      <c r="Z24" s="53"/>
      <c r="AA24" s="13"/>
      <c r="AB24" s="13"/>
      <c r="AC24" s="5"/>
      <c r="AD24" s="5"/>
      <c r="AE24" s="5"/>
    </row>
    <row r="25" spans="1:31" x14ac:dyDescent="0.3">
      <c r="A25" s="3" t="s">
        <v>1</v>
      </c>
      <c r="F25" s="13"/>
      <c r="G25" s="13"/>
      <c r="M25" s="13"/>
      <c r="N25" s="13"/>
      <c r="Q25" s="8"/>
      <c r="R25" s="8"/>
      <c r="S25" s="52"/>
      <c r="T25" s="12"/>
      <c r="U25" s="12"/>
      <c r="V25" s="53"/>
      <c r="X25" s="8"/>
      <c r="Y25" s="8"/>
      <c r="Z25" s="53"/>
      <c r="AA25" s="13"/>
      <c r="AB25" s="13"/>
    </row>
    <row r="26" spans="1:31" x14ac:dyDescent="0.3">
      <c r="A26" s="4" t="s">
        <v>13</v>
      </c>
      <c r="B26" s="5"/>
      <c r="C26" s="5"/>
      <c r="D26" s="5"/>
      <c r="E26" s="5"/>
      <c r="F26" s="13"/>
      <c r="G26" s="13"/>
      <c r="H26" s="5"/>
      <c r="I26" s="5"/>
      <c r="J26" s="5"/>
      <c r="K26" s="5"/>
      <c r="L26" s="5"/>
      <c r="M26" s="13"/>
      <c r="N26" s="13"/>
      <c r="O26" s="5"/>
      <c r="P26" s="5"/>
      <c r="Q26" s="7"/>
      <c r="R26" s="7"/>
      <c r="S26" s="52"/>
      <c r="T26" s="12"/>
      <c r="U26" s="12"/>
      <c r="V26" s="53"/>
      <c r="W26" s="5"/>
      <c r="X26" s="7"/>
      <c r="Y26" s="7"/>
      <c r="Z26" s="53"/>
      <c r="AA26" s="13"/>
      <c r="AB26" s="13"/>
      <c r="AC26" s="5"/>
      <c r="AD26" s="5"/>
      <c r="AE26" s="5"/>
    </row>
    <row r="27" spans="1:31" x14ac:dyDescent="0.3">
      <c r="A27" s="3" t="s">
        <v>1</v>
      </c>
      <c r="F27" s="13"/>
      <c r="G27" s="13"/>
      <c r="M27" s="13"/>
      <c r="N27" s="13"/>
      <c r="Q27" s="8"/>
      <c r="R27" s="8"/>
      <c r="S27" s="52"/>
      <c r="T27" s="12"/>
      <c r="U27" s="12"/>
      <c r="V27" s="53"/>
      <c r="X27" s="8"/>
      <c r="Y27" s="8"/>
      <c r="Z27" s="53"/>
      <c r="AA27" s="13"/>
      <c r="AB27" s="13"/>
    </row>
    <row r="28" spans="1:31" x14ac:dyDescent="0.3">
      <c r="A28" s="4" t="s">
        <v>13</v>
      </c>
      <c r="B28" s="5"/>
      <c r="C28" s="5"/>
      <c r="D28" s="5"/>
      <c r="E28" s="5"/>
      <c r="F28" s="13"/>
      <c r="G28" s="13"/>
      <c r="H28" s="5"/>
      <c r="I28" s="5"/>
      <c r="J28" s="5"/>
      <c r="K28" s="5"/>
      <c r="L28" s="5"/>
      <c r="M28" s="13"/>
      <c r="N28" s="13"/>
      <c r="O28" s="5"/>
      <c r="P28" s="5"/>
      <c r="Q28" s="7"/>
      <c r="R28" s="7"/>
      <c r="S28" s="52"/>
      <c r="T28" s="12"/>
      <c r="U28" s="12"/>
      <c r="V28" s="53"/>
      <c r="W28" s="5"/>
      <c r="X28" s="7"/>
      <c r="Y28" s="7"/>
      <c r="Z28" s="53"/>
      <c r="AA28" s="13"/>
      <c r="AB28" s="13"/>
      <c r="AC28" s="5"/>
      <c r="AD28" s="5"/>
      <c r="AE28" s="5"/>
    </row>
    <row r="29" spans="1:31" x14ac:dyDescent="0.3">
      <c r="A29" s="3" t="s">
        <v>1</v>
      </c>
      <c r="F29" s="13"/>
      <c r="G29" s="13"/>
      <c r="M29" s="13"/>
      <c r="N29" s="13"/>
      <c r="Q29" s="8"/>
      <c r="R29" s="8"/>
      <c r="S29" s="52"/>
      <c r="T29" s="12"/>
      <c r="U29" s="12"/>
      <c r="V29" s="53"/>
      <c r="X29" s="8"/>
      <c r="Y29" s="8"/>
      <c r="Z29" s="53"/>
      <c r="AA29" s="13"/>
      <c r="AB29" s="13"/>
    </row>
    <row r="30" spans="1:31" x14ac:dyDescent="0.3">
      <c r="A30" s="4" t="s">
        <v>13</v>
      </c>
      <c r="B30" s="5"/>
      <c r="C30" s="5"/>
      <c r="D30" s="5"/>
      <c r="E30" s="5"/>
      <c r="F30" s="13"/>
      <c r="G30" s="13"/>
      <c r="H30" s="5"/>
      <c r="I30" s="5"/>
      <c r="J30" s="5"/>
      <c r="K30" s="5"/>
      <c r="L30" s="5"/>
      <c r="M30" s="13"/>
      <c r="N30" s="13"/>
      <c r="O30" s="5"/>
      <c r="P30" s="5"/>
      <c r="Q30" s="7"/>
      <c r="R30" s="7"/>
      <c r="S30" s="52"/>
      <c r="T30" s="12"/>
      <c r="U30" s="12"/>
      <c r="V30" s="53"/>
      <c r="W30" s="5"/>
      <c r="X30" s="7"/>
      <c r="Y30" s="7"/>
      <c r="Z30" s="53"/>
      <c r="AA30" s="13"/>
      <c r="AB30" s="13"/>
      <c r="AC30" s="5"/>
      <c r="AD30" s="5"/>
      <c r="AE30" s="5"/>
    </row>
    <row r="31" spans="1:31" x14ac:dyDescent="0.3">
      <c r="A31" s="3" t="s">
        <v>1</v>
      </c>
      <c r="F31" s="13"/>
      <c r="G31" s="13"/>
      <c r="M31" s="13"/>
      <c r="N31" s="13"/>
      <c r="Q31" s="8"/>
      <c r="R31" s="8"/>
      <c r="S31" s="52"/>
      <c r="T31" s="12"/>
      <c r="U31" s="12"/>
      <c r="V31" s="53"/>
      <c r="X31" s="8"/>
      <c r="Y31" s="8"/>
      <c r="Z31" s="53"/>
      <c r="AA31" s="13"/>
      <c r="AB31" s="13"/>
    </row>
    <row r="32" spans="1:31" x14ac:dyDescent="0.3">
      <c r="A32" s="4" t="s">
        <v>13</v>
      </c>
      <c r="B32" s="5"/>
      <c r="C32" s="5"/>
      <c r="D32" s="5"/>
      <c r="E32" s="5"/>
      <c r="F32" s="13"/>
      <c r="G32" s="13"/>
      <c r="H32" s="5"/>
      <c r="I32" s="5"/>
      <c r="J32" s="5"/>
      <c r="K32" s="5"/>
      <c r="L32" s="5"/>
      <c r="M32" s="13"/>
      <c r="N32" s="13"/>
      <c r="O32" s="5"/>
      <c r="P32" s="5"/>
      <c r="Q32" s="7"/>
      <c r="R32" s="7"/>
      <c r="S32" s="52"/>
      <c r="T32" s="12"/>
      <c r="U32" s="12"/>
      <c r="V32" s="53"/>
      <c r="W32" s="5"/>
      <c r="X32" s="7"/>
      <c r="Y32" s="7"/>
      <c r="Z32" s="53"/>
      <c r="AA32" s="13"/>
      <c r="AB32" s="13"/>
      <c r="AC32" s="5"/>
      <c r="AD32" s="5"/>
      <c r="AE32" s="5"/>
    </row>
    <row r="33" spans="1:31" x14ac:dyDescent="0.3">
      <c r="A33" s="9" t="s">
        <v>59</v>
      </c>
      <c r="B33" s="14">
        <f>32.4-B4-B6-B8-B10-B12-B14-B16-B18-B20-B22-B24-B26-B28-B30-B32</f>
        <v>0.39999999999999858</v>
      </c>
      <c r="C33" s="10">
        <f t="shared" ref="C33:AB33" si="1">32.4-C4-C6-C8-C10-C12-C14-C16-C18-C20-C22-C24-C26-C28-C30-C32</f>
        <v>6.9999999999999982</v>
      </c>
      <c r="D33" s="10">
        <f t="shared" si="1"/>
        <v>19.199999999999996</v>
      </c>
      <c r="E33" s="14">
        <f t="shared" si="1"/>
        <v>-0.40000000000000391</v>
      </c>
      <c r="F33" s="14">
        <f t="shared" si="1"/>
        <v>32.4</v>
      </c>
      <c r="G33" s="14">
        <f t="shared" si="1"/>
        <v>32.4</v>
      </c>
      <c r="H33" s="10">
        <f t="shared" si="1"/>
        <v>20.799999999999997</v>
      </c>
      <c r="I33" s="14">
        <f t="shared" si="1"/>
        <v>-0.10000000000000142</v>
      </c>
      <c r="J33" s="10">
        <f>32.4-J4-J6-J8-J10-J12-J14-J16-J18-J20-J22-J24-J26-J28-J30-J32</f>
        <v>7.2999999999999989</v>
      </c>
      <c r="K33" s="10">
        <f t="shared" si="1"/>
        <v>23.46</v>
      </c>
      <c r="L33" s="10">
        <f t="shared" si="1"/>
        <v>14</v>
      </c>
      <c r="M33" s="14">
        <f t="shared" si="1"/>
        <v>32.4</v>
      </c>
      <c r="N33" s="14">
        <f t="shared" si="1"/>
        <v>32.4</v>
      </c>
      <c r="O33" s="14">
        <f>24-O4-O6-O8-O10-O12-O14-O16-O18-O20-O22-O24-O26-O28-O30-O32</f>
        <v>0</v>
      </c>
      <c r="P33" s="10">
        <f t="shared" ref="P33:R33" si="2">24-P4-P6-P8-P10-P12-P14-P16-P18-P20-P22-P24-P26-P28-P30-P32</f>
        <v>10.629999999999999</v>
      </c>
      <c r="Q33" s="10">
        <f t="shared" si="2"/>
        <v>14.1</v>
      </c>
      <c r="R33" s="10">
        <f t="shared" si="2"/>
        <v>6.7499999999999982</v>
      </c>
      <c r="S33" s="14">
        <f t="shared" ref="S33" si="3">27-S4-S6-S8-S10-S12-S14-S16-S18-S20-S22-S24-S26-S28-S30-S32</f>
        <v>27</v>
      </c>
      <c r="T33" s="14">
        <f t="shared" si="1"/>
        <v>32.4</v>
      </c>
      <c r="U33" s="14">
        <f t="shared" si="1"/>
        <v>32.4</v>
      </c>
      <c r="V33" s="14">
        <f>20.25-V4-V6-V8-V10-V12-V14-V16-V18-V20-V22-V24-V26-V28-V30-V32</f>
        <v>20.25</v>
      </c>
      <c r="W33" s="10">
        <f>18-W4-W6-W8-W10-W12-W14-W16-W18-W20-W22-W24-W26-W28-W30-W32</f>
        <v>9.879999999999999</v>
      </c>
      <c r="X33" s="14">
        <f>18-X4-X6-X8-X10-X12-X14-X16-X18-X20-X22-X24-X26-X28-X30-X32</f>
        <v>-0.60000000000000053</v>
      </c>
      <c r="Y33" s="10">
        <f>18-Y4-Y6-Y8-Y10-Y12-Y14-Y16-Y18-Y20-Y22-Y24-Y26-Y28-Y30-Y32</f>
        <v>2.4499999999999997</v>
      </c>
      <c r="Z33" s="14">
        <f t="shared" ref="Z33" si="4">20.25-Z4-Z6-Z8-Z10-Z12-Z14-Z16-Z18-Z20-Z22-Z24-Z26-Z28-Z30-Z32</f>
        <v>20.25</v>
      </c>
      <c r="AA33" s="14">
        <f t="shared" si="1"/>
        <v>32.4</v>
      </c>
      <c r="AB33" s="14">
        <f t="shared" si="1"/>
        <v>32.4</v>
      </c>
      <c r="AC33" s="14">
        <f>28.8-AC4-AC6-AC8-AC10-AC12-AC14-AC16-AC18-AC20-AC22-AC24-AC26-AC28-AC30-AC32</f>
        <v>8.8817841970012523E-16</v>
      </c>
      <c r="AD33" s="14">
        <f>24.15-AD4-AD6-AD8-AD10-AD12-AD14-AD16-AD18-AD20-AD22-AD24-AD26-AD28-AD30-AD32</f>
        <v>3.35</v>
      </c>
      <c r="AE33" s="10">
        <f>24.15-AE4-AE6-AE8-AE10-AE12-AE14-AE16-AE18-AE20-AE22-AE24-AE26-AE28-AE30-AE32</f>
        <v>17.279999999999998</v>
      </c>
    </row>
    <row r="34" spans="1:31" x14ac:dyDescent="0.3">
      <c r="S34" t="s">
        <v>303</v>
      </c>
      <c r="V34" t="s">
        <v>304</v>
      </c>
      <c r="Z34" t="s">
        <v>305</v>
      </c>
    </row>
    <row r="35" spans="1:31" x14ac:dyDescent="0.3">
      <c r="S35" t="s">
        <v>306</v>
      </c>
      <c r="V35" t="s">
        <v>307</v>
      </c>
    </row>
    <row r="36" spans="1:31" x14ac:dyDescent="0.3">
      <c r="H36" s="49" t="s">
        <v>308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</sheetData>
  <conditionalFormatting sqref="B2:AE2">
    <cfRule type="cellIs" dxfId="17" priority="1" operator="equal">
      <formula>40</formula>
    </cfRule>
    <cfRule type="cellIs" dxfId="16" priority="2" operator="greaterThan">
      <formula>40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4F6D-EB8E-4437-85E0-A0CFD31EED55}">
  <dimension ref="A1:AF35"/>
  <sheetViews>
    <sheetView topLeftCell="F1" zoomScaleNormal="100" workbookViewId="0">
      <selection activeCell="V10" sqref="V10"/>
    </sheetView>
  </sheetViews>
  <sheetFormatPr defaultRowHeight="14.4" x14ac:dyDescent="0.3"/>
  <cols>
    <col min="1" max="1" width="16" bestFit="1" customWidth="1"/>
    <col min="3" max="3" width="9.44140625" bestFit="1" customWidth="1"/>
    <col min="7" max="7" width="9.44140625" bestFit="1" customWidth="1"/>
    <col min="8" max="8" width="11.77734375" bestFit="1" customWidth="1"/>
    <col min="10" max="10" width="9.44140625" bestFit="1" customWidth="1"/>
    <col min="14" max="14" width="9.44140625" bestFit="1" customWidth="1"/>
    <col min="16" max="17" width="9.44140625" bestFit="1" customWidth="1"/>
    <col min="20" max="21" width="9.44140625" bestFit="1" customWidth="1"/>
    <col min="23" max="24" width="9.44140625" bestFit="1" customWidth="1"/>
    <col min="27" max="27" width="9.21875" customWidth="1"/>
    <col min="29" max="31" width="9.44140625" bestFit="1" customWidth="1"/>
  </cols>
  <sheetData>
    <row r="1" spans="1:32" x14ac:dyDescent="0.3">
      <c r="A1" s="3"/>
      <c r="B1" s="6">
        <v>45778</v>
      </c>
      <c r="C1" s="6">
        <v>45779</v>
      </c>
      <c r="D1" s="11">
        <v>45780</v>
      </c>
      <c r="E1" s="11">
        <v>45781</v>
      </c>
      <c r="F1" s="6">
        <v>45782</v>
      </c>
      <c r="G1" s="6">
        <v>45783</v>
      </c>
      <c r="H1" s="6">
        <v>45784</v>
      </c>
      <c r="I1" s="6">
        <v>45785</v>
      </c>
      <c r="J1" s="6">
        <v>45786</v>
      </c>
      <c r="K1" s="11">
        <v>45787</v>
      </c>
      <c r="L1" s="11">
        <v>45788</v>
      </c>
      <c r="M1" s="6">
        <v>45789</v>
      </c>
      <c r="N1" s="6">
        <v>45790</v>
      </c>
      <c r="O1" s="6">
        <v>45791</v>
      </c>
      <c r="P1" s="6">
        <v>45792</v>
      </c>
      <c r="Q1" s="6">
        <v>45793</v>
      </c>
      <c r="R1" s="11">
        <v>45794</v>
      </c>
      <c r="S1" s="11">
        <v>45795</v>
      </c>
      <c r="T1" s="6">
        <v>45796</v>
      </c>
      <c r="U1" s="6">
        <v>45797</v>
      </c>
      <c r="V1" s="6">
        <v>45798</v>
      </c>
      <c r="W1" s="6">
        <v>45799</v>
      </c>
      <c r="X1" s="6">
        <v>45800</v>
      </c>
      <c r="Y1" s="11">
        <v>45801</v>
      </c>
      <c r="Z1" s="11">
        <v>45802</v>
      </c>
      <c r="AA1" s="6">
        <v>45803</v>
      </c>
      <c r="AB1" s="6">
        <v>45804</v>
      </c>
      <c r="AC1" s="6">
        <v>45805</v>
      </c>
      <c r="AD1" s="6">
        <v>45806</v>
      </c>
      <c r="AE1" s="6">
        <v>45807</v>
      </c>
      <c r="AF1" s="11">
        <v>45808</v>
      </c>
    </row>
    <row r="2" spans="1:32" x14ac:dyDescent="0.3">
      <c r="A2" s="1" t="s">
        <v>0</v>
      </c>
      <c r="B2" s="2">
        <f>B4+B6+B8+B10+B12+B14+B16+B18+B20+B22+B24+B26+B28+B30+B32</f>
        <v>24.1</v>
      </c>
      <c r="C2" s="2">
        <f>C4+C6+C8+C10+C12+C14+C16+C18+C20+C22+C24+C26+C28+C30+C32</f>
        <v>16.100000000000001</v>
      </c>
      <c r="D2" s="12">
        <f t="shared" ref="D2:AF2" si="0">D4+D6+D8+D10+D12+D14+D16+D18+D20+D22+D24+D26+D28+D30+D32</f>
        <v>0</v>
      </c>
      <c r="E2" s="12">
        <f t="shared" si="0"/>
        <v>0</v>
      </c>
      <c r="F2" s="2">
        <f t="shared" si="0"/>
        <v>25</v>
      </c>
      <c r="G2" s="2">
        <f t="shared" si="0"/>
        <v>7.62</v>
      </c>
      <c r="H2" s="2">
        <f t="shared" si="0"/>
        <v>13</v>
      </c>
      <c r="I2" s="2">
        <f t="shared" si="0"/>
        <v>28.8</v>
      </c>
      <c r="J2" s="2">
        <f t="shared" si="0"/>
        <v>21.7</v>
      </c>
      <c r="K2" s="12">
        <f t="shared" si="0"/>
        <v>0</v>
      </c>
      <c r="L2" s="12">
        <f t="shared" si="0"/>
        <v>0</v>
      </c>
      <c r="M2" s="2">
        <f t="shared" si="0"/>
        <v>9</v>
      </c>
      <c r="N2" s="2">
        <f t="shared" si="0"/>
        <v>0</v>
      </c>
      <c r="O2" s="2">
        <f t="shared" si="0"/>
        <v>2.9</v>
      </c>
      <c r="P2" s="2">
        <f t="shared" si="0"/>
        <v>28.8</v>
      </c>
      <c r="Q2" s="2">
        <f t="shared" si="0"/>
        <v>33.800000000000004</v>
      </c>
      <c r="R2" s="12">
        <f t="shared" si="0"/>
        <v>0</v>
      </c>
      <c r="S2" s="12">
        <f>S4+S6+S8+S10+S12+S14+S16+S18+S20+S22+S24+S26+S28+S30+S32</f>
        <v>0</v>
      </c>
      <c r="T2" s="2">
        <f>T4+T6+T8+T10+T12+T14+T16+T18+T20+T22+T24+T26+T28+T30+T32</f>
        <v>28.900000000000002</v>
      </c>
      <c r="U2" s="2">
        <f t="shared" si="0"/>
        <v>32.24</v>
      </c>
      <c r="V2" s="2">
        <f t="shared" si="0"/>
        <v>20.150000000000002</v>
      </c>
      <c r="W2" s="2">
        <f t="shared" si="0"/>
        <v>20.25</v>
      </c>
      <c r="X2" s="2">
        <f t="shared" si="0"/>
        <v>35.1</v>
      </c>
      <c r="Y2" s="12">
        <f t="shared" si="0"/>
        <v>0</v>
      </c>
      <c r="Z2" s="12">
        <f t="shared" si="0"/>
        <v>0</v>
      </c>
      <c r="AA2" s="2">
        <f>AA4+AA6+AA8+AA10+AA12+AA14+AA16+AA18+AA20+AA22+AA24+AA26+AA28+AA30+AA32</f>
        <v>33.800000000000004</v>
      </c>
      <c r="AB2" s="2">
        <f t="shared" si="0"/>
        <v>30.4</v>
      </c>
      <c r="AC2" s="2">
        <f t="shared" si="0"/>
        <v>33.700000000000003</v>
      </c>
      <c r="AD2" s="2">
        <f t="shared" si="0"/>
        <v>33.799999999999997</v>
      </c>
      <c r="AE2" s="2">
        <f t="shared" si="0"/>
        <v>33.72</v>
      </c>
      <c r="AF2" s="12">
        <f t="shared" si="0"/>
        <v>0</v>
      </c>
    </row>
    <row r="3" spans="1:32" x14ac:dyDescent="0.3">
      <c r="A3" s="3" t="s">
        <v>1</v>
      </c>
      <c r="B3" t="s">
        <v>309</v>
      </c>
      <c r="C3" s="17" t="s">
        <v>310</v>
      </c>
      <c r="D3" s="13"/>
      <c r="E3" s="13"/>
      <c r="F3" s="21" t="s">
        <v>2</v>
      </c>
      <c r="I3" t="s">
        <v>311</v>
      </c>
      <c r="J3" t="s">
        <v>312</v>
      </c>
      <c r="K3" s="13"/>
      <c r="L3" s="13"/>
      <c r="M3" s="21" t="s">
        <v>2</v>
      </c>
      <c r="O3" t="s">
        <v>313</v>
      </c>
      <c r="Q3" s="19" t="s">
        <v>314</v>
      </c>
      <c r="R3" s="12"/>
      <c r="S3" s="12"/>
      <c r="T3" s="21" t="s">
        <v>2</v>
      </c>
      <c r="U3" s="8" t="s">
        <v>315</v>
      </c>
      <c r="V3" t="s">
        <v>316</v>
      </c>
      <c r="W3" s="17"/>
      <c r="X3" s="8" t="s">
        <v>317</v>
      </c>
      <c r="Y3" s="12"/>
      <c r="Z3" s="13"/>
      <c r="AA3" s="21" t="s">
        <v>2</v>
      </c>
      <c r="AC3" t="s">
        <v>318</v>
      </c>
      <c r="AD3" t="s">
        <v>319</v>
      </c>
      <c r="AE3" s="17" t="s">
        <v>320</v>
      </c>
      <c r="AF3" s="12"/>
    </row>
    <row r="4" spans="1:32" x14ac:dyDescent="0.3">
      <c r="A4" s="4" t="s">
        <v>13</v>
      </c>
      <c r="B4" s="5">
        <v>13</v>
      </c>
      <c r="C4" s="18">
        <v>0.5</v>
      </c>
      <c r="D4" s="13"/>
      <c r="E4" s="13"/>
      <c r="F4" s="22">
        <v>20</v>
      </c>
      <c r="G4" s="63"/>
      <c r="H4" s="5"/>
      <c r="I4" s="5">
        <v>17.100000000000001</v>
      </c>
      <c r="J4" s="5">
        <v>11</v>
      </c>
      <c r="K4" s="13"/>
      <c r="L4" s="13"/>
      <c r="M4" s="22"/>
      <c r="N4" s="5"/>
      <c r="O4" s="5">
        <v>2.9</v>
      </c>
      <c r="P4" s="63"/>
      <c r="Q4" s="19">
        <v>9.3000000000000007</v>
      </c>
      <c r="R4" s="12"/>
      <c r="S4" s="12"/>
      <c r="T4" s="22">
        <v>8</v>
      </c>
      <c r="U4" s="7">
        <v>23.94</v>
      </c>
      <c r="V4" s="5">
        <v>6.65</v>
      </c>
      <c r="W4" s="18"/>
      <c r="X4" s="7">
        <v>32</v>
      </c>
      <c r="Y4" s="12"/>
      <c r="Z4" s="13"/>
      <c r="AA4" s="22">
        <v>20</v>
      </c>
      <c r="AB4" s="5"/>
      <c r="AC4" s="5">
        <v>17.100000000000001</v>
      </c>
      <c r="AD4" s="5">
        <v>14.4</v>
      </c>
      <c r="AE4" s="18">
        <v>4.2</v>
      </c>
      <c r="AF4" s="12"/>
    </row>
    <row r="5" spans="1:32" x14ac:dyDescent="0.3">
      <c r="A5" s="3" t="s">
        <v>1</v>
      </c>
      <c r="B5" t="s">
        <v>321</v>
      </c>
      <c r="C5" t="s">
        <v>322</v>
      </c>
      <c r="D5" s="13"/>
      <c r="E5" s="13"/>
      <c r="F5" s="23" t="s">
        <v>14</v>
      </c>
      <c r="G5" t="s">
        <v>323</v>
      </c>
      <c r="H5" s="80" t="s">
        <v>324</v>
      </c>
      <c r="I5" t="s">
        <v>325</v>
      </c>
      <c r="J5" t="s">
        <v>326</v>
      </c>
      <c r="K5" s="13"/>
      <c r="L5" s="13"/>
      <c r="M5" s="23" t="s">
        <v>14</v>
      </c>
      <c r="P5" t="s">
        <v>327</v>
      </c>
      <c r="Q5" t="s">
        <v>328</v>
      </c>
      <c r="R5" s="12"/>
      <c r="S5" s="12"/>
      <c r="T5" s="23" t="s">
        <v>14</v>
      </c>
      <c r="U5" s="8" t="s">
        <v>329</v>
      </c>
      <c r="V5" t="s">
        <v>330</v>
      </c>
      <c r="W5" t="s">
        <v>331</v>
      </c>
      <c r="X5" s="19" t="s">
        <v>332</v>
      </c>
      <c r="Y5" s="12"/>
      <c r="Z5" s="13"/>
      <c r="AA5" s="23" t="s">
        <v>14</v>
      </c>
      <c r="AB5" t="s">
        <v>333</v>
      </c>
      <c r="AC5" s="17" t="s">
        <v>334</v>
      </c>
      <c r="AD5" s="17" t="s">
        <v>320</v>
      </c>
      <c r="AE5" s="17" t="s">
        <v>332</v>
      </c>
      <c r="AF5" s="12"/>
    </row>
    <row r="6" spans="1:32" x14ac:dyDescent="0.3">
      <c r="A6" s="4" t="s">
        <v>13</v>
      </c>
      <c r="B6" s="5">
        <v>2.6</v>
      </c>
      <c r="C6" s="5">
        <v>15.6</v>
      </c>
      <c r="D6" s="13"/>
      <c r="E6" s="13"/>
      <c r="F6" s="24">
        <v>5</v>
      </c>
      <c r="G6" s="5">
        <v>5.2</v>
      </c>
      <c r="H6" s="81">
        <v>6</v>
      </c>
      <c r="I6" s="5">
        <v>11.7</v>
      </c>
      <c r="J6" s="5">
        <v>9.4</v>
      </c>
      <c r="K6" s="13"/>
      <c r="L6" s="13"/>
      <c r="M6" s="24">
        <v>5</v>
      </c>
      <c r="N6" s="5"/>
      <c r="O6" s="63"/>
      <c r="P6" s="5">
        <v>20.8</v>
      </c>
      <c r="Q6" s="7">
        <v>12.9</v>
      </c>
      <c r="R6" s="12"/>
      <c r="S6" s="12"/>
      <c r="T6" s="24">
        <v>5</v>
      </c>
      <c r="U6" s="7">
        <v>2.6</v>
      </c>
      <c r="V6" s="5">
        <v>4</v>
      </c>
      <c r="W6" s="5">
        <v>2.6</v>
      </c>
      <c r="X6" s="19">
        <v>1</v>
      </c>
      <c r="Y6" s="12"/>
      <c r="Z6" s="13"/>
      <c r="AA6" s="24">
        <v>5</v>
      </c>
      <c r="AB6" s="5">
        <v>5.9</v>
      </c>
      <c r="AC6" s="18">
        <v>4.2</v>
      </c>
      <c r="AD6" s="18">
        <v>19.399999999999999</v>
      </c>
      <c r="AE6" s="18">
        <v>2.8</v>
      </c>
      <c r="AF6" s="12"/>
    </row>
    <row r="7" spans="1:32" x14ac:dyDescent="0.3">
      <c r="A7" s="3" t="s">
        <v>1</v>
      </c>
      <c r="B7" t="s">
        <v>335</v>
      </c>
      <c r="D7" s="13"/>
      <c r="E7" s="13"/>
      <c r="H7" s="80" t="s">
        <v>336</v>
      </c>
      <c r="J7" s="17" t="s">
        <v>337</v>
      </c>
      <c r="K7" s="13"/>
      <c r="L7" s="13"/>
      <c r="P7" s="8" t="s">
        <v>338</v>
      </c>
      <c r="Q7" s="8" t="s">
        <v>339</v>
      </c>
      <c r="R7" s="12"/>
      <c r="S7" s="12"/>
      <c r="T7" s="19" t="s">
        <v>340</v>
      </c>
      <c r="U7" s="8" t="s">
        <v>341</v>
      </c>
      <c r="V7" t="s">
        <v>342</v>
      </c>
      <c r="W7" t="s">
        <v>343</v>
      </c>
      <c r="X7" s="8" t="s">
        <v>344</v>
      </c>
      <c r="Y7" s="12"/>
      <c r="Z7" s="13"/>
      <c r="AA7" t="s">
        <v>345</v>
      </c>
      <c r="AB7" t="s">
        <v>346</v>
      </c>
      <c r="AC7" t="s">
        <v>347</v>
      </c>
      <c r="AE7" t="s">
        <v>348</v>
      </c>
      <c r="AF7" s="12"/>
    </row>
    <row r="8" spans="1:32" x14ac:dyDescent="0.3">
      <c r="A8" s="4" t="s">
        <v>13</v>
      </c>
      <c r="B8" s="5">
        <v>4</v>
      </c>
      <c r="C8" s="5"/>
      <c r="D8" s="13"/>
      <c r="E8" s="13"/>
      <c r="F8" s="5"/>
      <c r="G8" s="5"/>
      <c r="H8" s="81">
        <v>7</v>
      </c>
      <c r="I8" s="5"/>
      <c r="J8" s="18">
        <v>1.3</v>
      </c>
      <c r="K8" s="13"/>
      <c r="L8" s="13"/>
      <c r="M8" s="5"/>
      <c r="N8" s="63"/>
      <c r="O8" s="5"/>
      <c r="P8" s="5">
        <v>8</v>
      </c>
      <c r="Q8" s="7">
        <v>11.6</v>
      </c>
      <c r="R8" s="12"/>
      <c r="S8" s="12"/>
      <c r="T8" s="20">
        <v>5.6</v>
      </c>
      <c r="U8" s="7">
        <v>2.5</v>
      </c>
      <c r="V8" s="5">
        <v>2.4</v>
      </c>
      <c r="W8" s="5">
        <v>3.35</v>
      </c>
      <c r="X8" s="7">
        <v>2.1</v>
      </c>
      <c r="Y8" s="12"/>
      <c r="Z8" s="13"/>
      <c r="AA8" s="5">
        <v>6.3</v>
      </c>
      <c r="AB8" s="5">
        <v>2.5</v>
      </c>
      <c r="AC8" s="5">
        <v>12.4</v>
      </c>
      <c r="AD8" s="5"/>
      <c r="AE8" s="5">
        <v>2.75</v>
      </c>
      <c r="AF8" s="12"/>
    </row>
    <row r="9" spans="1:32" x14ac:dyDescent="0.3">
      <c r="A9" s="3" t="s">
        <v>1</v>
      </c>
      <c r="B9" t="s">
        <v>349</v>
      </c>
      <c r="D9" s="13"/>
      <c r="E9" s="13"/>
      <c r="G9" t="s">
        <v>350</v>
      </c>
      <c r="K9" s="13"/>
      <c r="L9" s="13"/>
      <c r="M9" t="s">
        <v>351</v>
      </c>
      <c r="Q9" s="8"/>
      <c r="R9" s="12"/>
      <c r="S9" s="12"/>
      <c r="T9" s="8" t="s">
        <v>352</v>
      </c>
      <c r="U9" s="8" t="s">
        <v>353</v>
      </c>
      <c r="V9" t="s">
        <v>354</v>
      </c>
      <c r="W9" s="17" t="s">
        <v>355</v>
      </c>
      <c r="X9" s="8"/>
      <c r="Y9" s="12"/>
      <c r="Z9" s="13"/>
      <c r="AA9" s="17" t="s">
        <v>356</v>
      </c>
      <c r="AB9" t="s">
        <v>357</v>
      </c>
      <c r="AE9" t="s">
        <v>358</v>
      </c>
      <c r="AF9" s="12"/>
    </row>
    <row r="10" spans="1:32" x14ac:dyDescent="0.3">
      <c r="A10" s="4" t="s">
        <v>13</v>
      </c>
      <c r="B10" s="5">
        <v>4.5</v>
      </c>
      <c r="C10" s="5"/>
      <c r="D10" s="13"/>
      <c r="E10" s="13"/>
      <c r="F10" s="5"/>
      <c r="G10" s="5">
        <v>2.42</v>
      </c>
      <c r="H10" s="5"/>
      <c r="I10" s="5"/>
      <c r="J10" s="5"/>
      <c r="K10" s="13"/>
      <c r="L10" s="13"/>
      <c r="M10" s="5">
        <v>4</v>
      </c>
      <c r="N10" s="5"/>
      <c r="O10" s="5"/>
      <c r="P10" s="5"/>
      <c r="Q10" s="7"/>
      <c r="R10" s="12"/>
      <c r="S10" s="12"/>
      <c r="T10" s="7">
        <v>1.8</v>
      </c>
      <c r="U10" s="7">
        <v>3.2</v>
      </c>
      <c r="V10" s="5">
        <v>4.5</v>
      </c>
      <c r="W10" s="18">
        <v>4.5999999999999996</v>
      </c>
      <c r="X10" s="7"/>
      <c r="Y10" s="12"/>
      <c r="Z10" s="13"/>
      <c r="AA10" s="18">
        <v>0.8</v>
      </c>
      <c r="AB10" s="5">
        <v>22</v>
      </c>
      <c r="AC10" s="5"/>
      <c r="AD10" s="5"/>
      <c r="AE10" s="5">
        <v>4.05</v>
      </c>
      <c r="AF10" s="12"/>
    </row>
    <row r="11" spans="1:32" x14ac:dyDescent="0.3">
      <c r="A11" s="3" t="s">
        <v>1</v>
      </c>
      <c r="D11" s="13"/>
      <c r="E11" s="13"/>
      <c r="K11" s="13"/>
      <c r="L11" s="13"/>
      <c r="Q11" s="8"/>
      <c r="R11" s="12"/>
      <c r="S11" s="12"/>
      <c r="T11" s="8" t="s">
        <v>359</v>
      </c>
      <c r="U11" s="8"/>
      <c r="V11" t="s">
        <v>360</v>
      </c>
      <c r="W11" t="s">
        <v>361</v>
      </c>
      <c r="X11" s="8"/>
      <c r="Y11" s="12"/>
      <c r="Z11" s="13"/>
      <c r="AA11" s="17" t="s">
        <v>332</v>
      </c>
      <c r="AE11" t="s">
        <v>362</v>
      </c>
      <c r="AF11" s="12"/>
    </row>
    <row r="12" spans="1:32" x14ac:dyDescent="0.3">
      <c r="A12" s="4" t="s">
        <v>13</v>
      </c>
      <c r="B12" s="5"/>
      <c r="C12" s="5"/>
      <c r="D12" s="13"/>
      <c r="E12" s="13"/>
      <c r="F12" s="5"/>
      <c r="G12" s="5"/>
      <c r="H12" s="5"/>
      <c r="I12" s="5"/>
      <c r="J12" s="5"/>
      <c r="K12" s="13"/>
      <c r="L12" s="13"/>
      <c r="M12" s="5"/>
      <c r="N12" s="5"/>
      <c r="O12" s="5"/>
      <c r="P12" s="5"/>
      <c r="Q12" s="7"/>
      <c r="R12" s="12"/>
      <c r="S12" s="12"/>
      <c r="T12" s="7">
        <v>2.6</v>
      </c>
      <c r="U12" s="7"/>
      <c r="V12" s="5">
        <v>2.6</v>
      </c>
      <c r="W12" s="5">
        <v>4</v>
      </c>
      <c r="X12" s="7"/>
      <c r="Y12" s="12"/>
      <c r="Z12" s="13"/>
      <c r="AA12" s="18">
        <v>1.7</v>
      </c>
      <c r="AB12" s="5"/>
      <c r="AC12" s="5"/>
      <c r="AD12" s="5"/>
      <c r="AE12" s="5">
        <v>3.5</v>
      </c>
      <c r="AF12" s="12"/>
    </row>
    <row r="13" spans="1:32" x14ac:dyDescent="0.3">
      <c r="A13" s="3" t="s">
        <v>1</v>
      </c>
      <c r="D13" s="13"/>
      <c r="E13" s="13"/>
      <c r="K13" s="13"/>
      <c r="L13" s="13"/>
      <c r="Q13" s="8"/>
      <c r="R13" s="12"/>
      <c r="S13" s="12"/>
      <c r="T13" s="82" t="s">
        <v>363</v>
      </c>
      <c r="U13" s="8"/>
      <c r="W13" t="s">
        <v>364</v>
      </c>
      <c r="X13" s="8"/>
      <c r="Y13" s="12"/>
      <c r="Z13" s="13"/>
      <c r="AE13" t="s">
        <v>365</v>
      </c>
      <c r="AF13" s="12"/>
    </row>
    <row r="14" spans="1:32" x14ac:dyDescent="0.3">
      <c r="A14" s="4" t="s">
        <v>13</v>
      </c>
      <c r="B14" s="5"/>
      <c r="C14" s="5"/>
      <c r="D14" s="13"/>
      <c r="E14" s="13"/>
      <c r="F14" s="5"/>
      <c r="G14" s="5"/>
      <c r="H14" s="5"/>
      <c r="I14" s="5"/>
      <c r="J14" s="5"/>
      <c r="K14" s="13"/>
      <c r="L14" s="13"/>
      <c r="M14" s="5"/>
      <c r="N14" s="5"/>
      <c r="O14" s="5"/>
      <c r="P14" s="5"/>
      <c r="Q14" s="7"/>
      <c r="R14" s="12"/>
      <c r="S14" s="12"/>
      <c r="T14" s="83">
        <v>3.5</v>
      </c>
      <c r="U14" s="7"/>
      <c r="V14" s="5"/>
      <c r="W14" s="5">
        <v>5.7</v>
      </c>
      <c r="X14" s="7"/>
      <c r="Y14" s="12"/>
      <c r="Z14" s="13"/>
      <c r="AA14" s="5"/>
      <c r="AB14" s="5"/>
      <c r="AC14" s="5"/>
      <c r="AD14" s="5"/>
      <c r="AE14" s="5">
        <v>4.5999999999999996</v>
      </c>
      <c r="AF14" s="12"/>
    </row>
    <row r="15" spans="1:32" x14ac:dyDescent="0.3">
      <c r="A15" s="3" t="s">
        <v>1</v>
      </c>
      <c r="D15" s="13"/>
      <c r="E15" s="13"/>
      <c r="K15" s="13"/>
      <c r="L15" s="13"/>
      <c r="Q15" s="8"/>
      <c r="R15" s="12"/>
      <c r="S15" s="12"/>
      <c r="T15" s="8" t="s">
        <v>366</v>
      </c>
      <c r="U15" s="8"/>
      <c r="X15" s="8"/>
      <c r="Y15" s="12"/>
      <c r="Z15" s="13"/>
      <c r="AE15" t="s">
        <v>367</v>
      </c>
      <c r="AF15" s="12"/>
    </row>
    <row r="16" spans="1:32" x14ac:dyDescent="0.3">
      <c r="A16" s="4" t="s">
        <v>13</v>
      </c>
      <c r="B16" s="5"/>
      <c r="C16" s="5"/>
      <c r="D16" s="13"/>
      <c r="E16" s="13"/>
      <c r="F16" s="5"/>
      <c r="G16" s="5"/>
      <c r="H16" s="5"/>
      <c r="I16" s="5"/>
      <c r="J16" s="5"/>
      <c r="K16" s="13"/>
      <c r="L16" s="13"/>
      <c r="M16" s="5"/>
      <c r="N16" s="5"/>
      <c r="O16" s="5"/>
      <c r="P16" s="5"/>
      <c r="Q16" s="7"/>
      <c r="R16" s="12"/>
      <c r="S16" s="12"/>
      <c r="T16" s="7">
        <v>2.4</v>
      </c>
      <c r="U16" s="7"/>
      <c r="V16" s="5"/>
      <c r="W16" s="5"/>
      <c r="X16" s="7"/>
      <c r="Y16" s="12"/>
      <c r="Z16" s="13"/>
      <c r="AA16" s="5"/>
      <c r="AB16" s="5"/>
      <c r="AC16" s="5"/>
      <c r="AD16" s="5"/>
      <c r="AE16" s="5">
        <v>5.7</v>
      </c>
      <c r="AF16" s="12"/>
    </row>
    <row r="17" spans="1:32" x14ac:dyDescent="0.3">
      <c r="A17" s="3" t="s">
        <v>1</v>
      </c>
      <c r="D17" s="13"/>
      <c r="E17" s="13"/>
      <c r="K17" s="13"/>
      <c r="L17" s="13"/>
      <c r="Q17" s="8"/>
      <c r="R17" s="12"/>
      <c r="S17" s="12"/>
      <c r="T17" s="8"/>
      <c r="U17" s="8"/>
      <c r="X17" s="8"/>
      <c r="Y17" s="12"/>
      <c r="Z17" s="13"/>
      <c r="AE17" t="s">
        <v>368</v>
      </c>
      <c r="AF17" s="12"/>
    </row>
    <row r="18" spans="1:32" x14ac:dyDescent="0.3">
      <c r="A18" s="4" t="s">
        <v>13</v>
      </c>
      <c r="B18" s="5"/>
      <c r="C18" s="5"/>
      <c r="D18" s="13"/>
      <c r="E18" s="13"/>
      <c r="F18" s="5"/>
      <c r="G18" s="5"/>
      <c r="H18" s="5"/>
      <c r="I18" s="5"/>
      <c r="J18" s="5"/>
      <c r="K18" s="13"/>
      <c r="L18" s="13"/>
      <c r="M18" s="5"/>
      <c r="N18" s="5"/>
      <c r="O18" s="5"/>
      <c r="P18" s="5"/>
      <c r="Q18" s="7"/>
      <c r="R18" s="12"/>
      <c r="S18" s="12"/>
      <c r="T18" s="7"/>
      <c r="U18" s="7"/>
      <c r="V18" s="5"/>
      <c r="W18" s="5"/>
      <c r="X18" s="7"/>
      <c r="Y18" s="12"/>
      <c r="Z18" s="13"/>
      <c r="AA18" s="5"/>
      <c r="AB18" s="5"/>
      <c r="AC18" s="5"/>
      <c r="AD18" s="5"/>
      <c r="AE18" s="5">
        <v>3.12</v>
      </c>
      <c r="AF18" s="12"/>
    </row>
    <row r="19" spans="1:32" x14ac:dyDescent="0.3">
      <c r="A19" s="3" t="s">
        <v>1</v>
      </c>
      <c r="D19" s="13"/>
      <c r="E19" s="13"/>
      <c r="K19" s="13"/>
      <c r="L19" s="13"/>
      <c r="Q19" s="8"/>
      <c r="R19" s="12"/>
      <c r="S19" s="12"/>
      <c r="T19" s="8"/>
      <c r="U19" s="8"/>
      <c r="X19" s="8"/>
      <c r="Y19" s="12"/>
      <c r="Z19" s="13"/>
      <c r="AE19" t="s">
        <v>369</v>
      </c>
      <c r="AF19" s="12"/>
    </row>
    <row r="20" spans="1:32" x14ac:dyDescent="0.3">
      <c r="A20" s="4" t="s">
        <v>13</v>
      </c>
      <c r="B20" s="5"/>
      <c r="C20" s="5"/>
      <c r="D20" s="13"/>
      <c r="E20" s="13"/>
      <c r="F20" s="5"/>
      <c r="G20" s="5"/>
      <c r="H20" s="5"/>
      <c r="I20" s="5"/>
      <c r="J20" s="5"/>
      <c r="K20" s="13"/>
      <c r="L20" s="13"/>
      <c r="M20" s="5"/>
      <c r="N20" s="5"/>
      <c r="O20" s="5"/>
      <c r="P20" s="5"/>
      <c r="Q20" s="7"/>
      <c r="R20" s="12"/>
      <c r="S20" s="12"/>
      <c r="T20" s="7"/>
      <c r="U20" s="7"/>
      <c r="V20" s="5"/>
      <c r="W20" s="5"/>
      <c r="X20" s="7"/>
      <c r="Y20" s="12"/>
      <c r="Z20" s="13"/>
      <c r="AA20" s="5"/>
      <c r="AB20" s="5"/>
      <c r="AC20" s="5"/>
      <c r="AD20" s="5"/>
      <c r="AE20" s="5">
        <v>1.5</v>
      </c>
      <c r="AF20" s="12"/>
    </row>
    <row r="21" spans="1:32" x14ac:dyDescent="0.3">
      <c r="A21" s="3" t="s">
        <v>1</v>
      </c>
      <c r="D21" s="13"/>
      <c r="E21" s="13"/>
      <c r="K21" s="13"/>
      <c r="L21" s="13"/>
      <c r="Q21" s="8"/>
      <c r="R21" s="12"/>
      <c r="S21" s="12"/>
      <c r="T21" s="8"/>
      <c r="U21" s="8"/>
      <c r="X21" s="8"/>
      <c r="Y21" s="12"/>
      <c r="Z21" s="13"/>
      <c r="AE21" t="s">
        <v>370</v>
      </c>
      <c r="AF21" s="12"/>
    </row>
    <row r="22" spans="1:32" x14ac:dyDescent="0.3">
      <c r="A22" s="4" t="s">
        <v>13</v>
      </c>
      <c r="B22" s="5"/>
      <c r="C22" s="5"/>
      <c r="D22" s="13"/>
      <c r="E22" s="13"/>
      <c r="F22" s="5"/>
      <c r="G22" s="5"/>
      <c r="H22" s="5"/>
      <c r="I22" s="5"/>
      <c r="J22" s="5"/>
      <c r="K22" s="13"/>
      <c r="L22" s="13"/>
      <c r="M22" s="5"/>
      <c r="N22" s="5"/>
      <c r="O22" s="5"/>
      <c r="P22" s="5"/>
      <c r="Q22" s="7"/>
      <c r="R22" s="12"/>
      <c r="S22" s="12"/>
      <c r="T22" s="7"/>
      <c r="U22" s="7"/>
      <c r="V22" s="5"/>
      <c r="W22" s="5"/>
      <c r="X22" s="7"/>
      <c r="Y22" s="12"/>
      <c r="Z22" s="13"/>
      <c r="AA22" s="5"/>
      <c r="AB22" s="5"/>
      <c r="AC22" s="5"/>
      <c r="AD22" s="5"/>
      <c r="AE22" s="5">
        <v>1.5</v>
      </c>
      <c r="AF22" s="12"/>
    </row>
    <row r="23" spans="1:32" x14ac:dyDescent="0.3">
      <c r="A23" s="3" t="s">
        <v>1</v>
      </c>
      <c r="D23" s="13"/>
      <c r="E23" s="13"/>
      <c r="K23" s="13"/>
      <c r="L23" s="13"/>
      <c r="Q23" s="8"/>
      <c r="R23" s="12"/>
      <c r="S23" s="12"/>
      <c r="T23" s="8"/>
      <c r="U23" s="8"/>
      <c r="X23" s="8"/>
      <c r="Y23" s="12"/>
      <c r="Z23" s="13"/>
      <c r="AF23" s="12"/>
    </row>
    <row r="24" spans="1:32" x14ac:dyDescent="0.3">
      <c r="A24" s="4" t="s">
        <v>13</v>
      </c>
      <c r="B24" s="5"/>
      <c r="C24" s="5"/>
      <c r="D24" s="13"/>
      <c r="E24" s="13"/>
      <c r="F24" s="5"/>
      <c r="G24" s="5"/>
      <c r="H24" s="5"/>
      <c r="I24" s="5"/>
      <c r="J24" s="5"/>
      <c r="K24" s="13"/>
      <c r="L24" s="13"/>
      <c r="M24" s="5"/>
      <c r="N24" s="5"/>
      <c r="O24" s="5"/>
      <c r="P24" s="5"/>
      <c r="Q24" s="7"/>
      <c r="R24" s="12"/>
      <c r="S24" s="12"/>
      <c r="T24" s="7"/>
      <c r="U24" s="7"/>
      <c r="V24" s="5"/>
      <c r="W24" s="5"/>
      <c r="X24" s="7"/>
      <c r="Y24" s="12"/>
      <c r="Z24" s="13"/>
      <c r="AA24" s="5"/>
      <c r="AB24" s="5"/>
      <c r="AC24" s="5"/>
      <c r="AD24" s="5"/>
      <c r="AE24" s="5"/>
      <c r="AF24" s="12"/>
    </row>
    <row r="25" spans="1:32" x14ac:dyDescent="0.3">
      <c r="A25" s="3" t="s">
        <v>1</v>
      </c>
      <c r="D25" s="13"/>
      <c r="E25" s="13"/>
      <c r="K25" s="13"/>
      <c r="L25" s="13"/>
      <c r="Q25" s="8"/>
      <c r="R25" s="12"/>
      <c r="S25" s="12"/>
      <c r="T25" s="8"/>
      <c r="U25" s="8"/>
      <c r="X25" s="8"/>
      <c r="Y25" s="12"/>
      <c r="Z25" s="13"/>
      <c r="AF25" s="12"/>
    </row>
    <row r="26" spans="1:32" x14ac:dyDescent="0.3">
      <c r="A26" s="4" t="s">
        <v>13</v>
      </c>
      <c r="B26" s="5"/>
      <c r="C26" s="5"/>
      <c r="D26" s="13"/>
      <c r="E26" s="13"/>
      <c r="F26" s="5"/>
      <c r="G26" s="5"/>
      <c r="H26" s="5"/>
      <c r="I26" s="5"/>
      <c r="J26" s="5"/>
      <c r="K26" s="13"/>
      <c r="L26" s="13"/>
      <c r="M26" s="5"/>
      <c r="N26" s="5"/>
      <c r="O26" s="5"/>
      <c r="P26" s="5"/>
      <c r="Q26" s="7"/>
      <c r="R26" s="12"/>
      <c r="S26" s="12"/>
      <c r="T26" s="7"/>
      <c r="U26" s="7"/>
      <c r="V26" s="5"/>
      <c r="W26" s="5"/>
      <c r="X26" s="7"/>
      <c r="Y26" s="12"/>
      <c r="Z26" s="13"/>
      <c r="AA26" s="5"/>
      <c r="AB26" s="5"/>
      <c r="AC26" s="5"/>
      <c r="AD26" s="5"/>
      <c r="AE26" s="5"/>
      <c r="AF26" s="12"/>
    </row>
    <row r="27" spans="1:32" x14ac:dyDescent="0.3">
      <c r="A27" s="3" t="s">
        <v>1</v>
      </c>
      <c r="D27" s="13"/>
      <c r="E27" s="13"/>
      <c r="K27" s="13"/>
      <c r="L27" s="13"/>
      <c r="Q27" s="8"/>
      <c r="R27" s="12"/>
      <c r="S27" s="12"/>
      <c r="T27" s="8"/>
      <c r="U27" s="8"/>
      <c r="X27" s="8"/>
      <c r="Y27" s="12"/>
      <c r="Z27" s="13"/>
      <c r="AF27" s="12"/>
    </row>
    <row r="28" spans="1:32" x14ac:dyDescent="0.3">
      <c r="A28" s="4" t="s">
        <v>13</v>
      </c>
      <c r="B28" s="5"/>
      <c r="C28" s="5"/>
      <c r="D28" s="13"/>
      <c r="E28" s="13"/>
      <c r="F28" s="5"/>
      <c r="G28" s="5"/>
      <c r="H28" s="5"/>
      <c r="I28" s="5"/>
      <c r="J28" s="5"/>
      <c r="K28" s="13"/>
      <c r="L28" s="13"/>
      <c r="M28" s="5"/>
      <c r="N28" s="5"/>
      <c r="O28" s="5"/>
      <c r="P28" s="5"/>
      <c r="Q28" s="7"/>
      <c r="R28" s="12"/>
      <c r="S28" s="12"/>
      <c r="T28" s="7"/>
      <c r="U28" s="7"/>
      <c r="V28" s="5"/>
      <c r="W28" s="5"/>
      <c r="X28" s="7"/>
      <c r="Y28" s="12"/>
      <c r="Z28" s="13"/>
      <c r="AA28" s="5"/>
      <c r="AB28" s="5"/>
      <c r="AC28" s="5"/>
      <c r="AD28" s="5"/>
      <c r="AE28" s="5"/>
      <c r="AF28" s="12"/>
    </row>
    <row r="29" spans="1:32" x14ac:dyDescent="0.3">
      <c r="A29" s="3" t="s">
        <v>1</v>
      </c>
      <c r="D29" s="13"/>
      <c r="E29" s="13"/>
      <c r="K29" s="13"/>
      <c r="L29" s="13"/>
      <c r="Q29" s="8"/>
      <c r="R29" s="12"/>
      <c r="S29" s="12"/>
      <c r="T29" s="8"/>
      <c r="U29" s="8"/>
      <c r="X29" s="8"/>
      <c r="Y29" s="12"/>
      <c r="Z29" s="13"/>
      <c r="AF29" s="12"/>
    </row>
    <row r="30" spans="1:32" x14ac:dyDescent="0.3">
      <c r="A30" s="4" t="s">
        <v>13</v>
      </c>
      <c r="B30" s="5"/>
      <c r="C30" s="5"/>
      <c r="D30" s="13"/>
      <c r="E30" s="13"/>
      <c r="F30" s="5"/>
      <c r="G30" s="5"/>
      <c r="H30" s="5"/>
      <c r="I30" s="5"/>
      <c r="J30" s="5"/>
      <c r="K30" s="13"/>
      <c r="L30" s="13"/>
      <c r="M30" s="5"/>
      <c r="N30" s="5"/>
      <c r="O30" s="5"/>
      <c r="P30" s="5"/>
      <c r="Q30" s="7"/>
      <c r="R30" s="12"/>
      <c r="S30" s="12"/>
      <c r="T30" s="7"/>
      <c r="U30" s="7"/>
      <c r="V30" s="5"/>
      <c r="W30" s="5"/>
      <c r="X30" s="7"/>
      <c r="Y30" s="12"/>
      <c r="Z30" s="13"/>
      <c r="AA30" s="5"/>
      <c r="AB30" s="5"/>
      <c r="AC30" s="5"/>
      <c r="AD30" s="5"/>
      <c r="AE30" s="5"/>
      <c r="AF30" s="12"/>
    </row>
    <row r="31" spans="1:32" x14ac:dyDescent="0.3">
      <c r="A31" s="3" t="s">
        <v>1</v>
      </c>
      <c r="D31" s="13"/>
      <c r="E31" s="13"/>
      <c r="K31" s="13"/>
      <c r="L31" s="13"/>
      <c r="Q31" s="8"/>
      <c r="R31" s="12"/>
      <c r="S31" s="12"/>
      <c r="T31" s="8"/>
      <c r="U31" s="8"/>
      <c r="X31" s="8"/>
      <c r="Y31" s="12"/>
      <c r="Z31" s="13"/>
      <c r="AF31" s="12"/>
    </row>
    <row r="32" spans="1:32" x14ac:dyDescent="0.3">
      <c r="A32" s="4" t="s">
        <v>13</v>
      </c>
      <c r="B32" s="5"/>
      <c r="C32" s="5"/>
      <c r="D32" s="13"/>
      <c r="E32" s="13"/>
      <c r="F32" s="5"/>
      <c r="G32" s="5"/>
      <c r="H32" s="5"/>
      <c r="I32" s="5"/>
      <c r="J32" s="5"/>
      <c r="K32" s="13"/>
      <c r="L32" s="13"/>
      <c r="M32" s="5"/>
      <c r="N32" s="5"/>
      <c r="O32" s="5"/>
      <c r="P32" s="5"/>
      <c r="Q32" s="7"/>
      <c r="R32" s="12"/>
      <c r="S32" s="12"/>
      <c r="T32" s="7"/>
      <c r="U32" s="7"/>
      <c r="V32" s="5"/>
      <c r="W32" s="5"/>
      <c r="X32" s="7"/>
      <c r="Y32" s="12"/>
      <c r="Z32" s="13"/>
      <c r="AA32" s="5"/>
      <c r="AB32" s="5"/>
      <c r="AC32" s="5"/>
      <c r="AD32" s="5"/>
      <c r="AE32" s="5"/>
      <c r="AF32" s="12"/>
    </row>
    <row r="33" spans="1:32" x14ac:dyDescent="0.3">
      <c r="A33" s="9" t="s">
        <v>59</v>
      </c>
      <c r="B33" s="14">
        <f>24.15-B4-B6-B8-B10-B12-B14-B16-B18-B20-B22-B24-B26-B28-B30-B32</f>
        <v>4.9999999999998934E-2</v>
      </c>
      <c r="C33" s="10">
        <f>24.15-C4-C6-C8-C10-C12-C14-C16-C18-C20-C22-C24-C26-C28-C30-C32</f>
        <v>8.0499999999999989</v>
      </c>
      <c r="D33" s="14">
        <f t="shared" ref="D33:E33" si="1">40-D4-D6-D8-D10-D12-D14-D16-D18-D20-D22-D24-D26-D28-D30-D32</f>
        <v>40</v>
      </c>
      <c r="E33" s="14">
        <f t="shared" si="1"/>
        <v>40</v>
      </c>
      <c r="F33" s="10">
        <f>28.2-F4-F6-F8-F10-F12-F14-F16-F18-F20-F22-F24-F26-F28-F30-F32</f>
        <v>3.1999999999999993</v>
      </c>
      <c r="G33" s="10">
        <f t="shared" ref="G33:J33" si="2">28.2-G4-G6-G8-G10-G12-G14-G16-G18-G20-G22-G24-G26-G28-G30-G32</f>
        <v>20.58</v>
      </c>
      <c r="H33" s="10">
        <f t="shared" si="2"/>
        <v>15.2</v>
      </c>
      <c r="I33" s="14">
        <f t="shared" si="2"/>
        <v>-0.60000000000000142</v>
      </c>
      <c r="J33" s="10">
        <f t="shared" si="2"/>
        <v>6.4999999999999991</v>
      </c>
      <c r="K33" s="14">
        <f>28.8-K4-K6-K8-K10-K12-K14-K16-K18-K20-K22-K24-K26-K28-K30-K32</f>
        <v>28.8</v>
      </c>
      <c r="L33" s="14">
        <f t="shared" ref="L33" si="3">28.8-L4-L6-L8-L10-L12-L14-L16-L18-L20-L22-L24-L26-L28-L30-L32</f>
        <v>28.8</v>
      </c>
      <c r="M33" s="10">
        <f>33.75-M4-M6-M8-M10-M12-M14-M16-M18-M20-M22-M24-M26-M28-M30-M32</f>
        <v>24.75</v>
      </c>
      <c r="N33" s="10">
        <f t="shared" ref="N33:Q33" si="4">33.75-N4-N6-N8-N10-N12-N14-N16-N18-N20-N22-N24-N26-N28-N30-N32</f>
        <v>33.75</v>
      </c>
      <c r="O33" s="10">
        <f t="shared" si="4"/>
        <v>30.85</v>
      </c>
      <c r="P33" s="10">
        <f t="shared" si="4"/>
        <v>4.9499999999999993</v>
      </c>
      <c r="Q33" s="14">
        <f t="shared" si="4"/>
        <v>-5.0000000000000711E-2</v>
      </c>
      <c r="R33" s="14">
        <f t="shared" ref="R33" si="5">28.8-R4-R6-R8-R10-R12-R14-R16-R18-R20-R22-R24-R26-R28-R30-R32</f>
        <v>28.8</v>
      </c>
      <c r="S33" s="14">
        <f t="shared" ref="S33" si="6">28.8-S4-S6-S8-S10-S12-S14-S16-S18-S20-S22-S24-S26-S28-S30-S32</f>
        <v>28.8</v>
      </c>
      <c r="T33" s="10">
        <f>32.4-T4-T6-T8-T10-T12-T14-T16-T18-T20-T22-T24-T26-T28-T30-T32</f>
        <v>3.4999999999999987</v>
      </c>
      <c r="U33" s="14">
        <f t="shared" ref="U33:Z33" si="7">32.4-U4-U6-U8-U10-U12-U14-U16-U18-U20-U22-U24-U26-U28-U30-U32</f>
        <v>0.15999999999999748</v>
      </c>
      <c r="V33" s="10">
        <f>35.1-V4-V6-V8-V10-V12-V14-V16-V18-V20-V22-V24-V26-V28-V30-V32</f>
        <v>14.950000000000005</v>
      </c>
      <c r="W33" s="10">
        <f t="shared" ref="W33:X33" si="8">35.1-W4-W6-W8-W10-W12-W14-W16-W18-W20-W22-W24-W26-W28-W30-W32</f>
        <v>14.849999999999998</v>
      </c>
      <c r="X33" s="14">
        <f t="shared" si="8"/>
        <v>1.3322676295501878E-15</v>
      </c>
      <c r="Y33" s="14">
        <f t="shared" si="7"/>
        <v>32.4</v>
      </c>
      <c r="Z33" s="14">
        <f t="shared" si="7"/>
        <v>32.4</v>
      </c>
      <c r="AA33" s="14">
        <f>33.75-AA4-AA6-AA8-AA10-AA12-AA14-AA16-AA18-AA20-AA22-AA24-AA26-AA28-AA30-AA32</f>
        <v>-4.9999999999999822E-2</v>
      </c>
      <c r="AB33" s="10">
        <f t="shared" ref="AB33:AF33" si="9">33.75-AB4-AB6-AB8-AB10-AB12-AB14-AB16-AB18-AB20-AB22-AB24-AB26-AB28-AB30-AB32</f>
        <v>3.3500000000000014</v>
      </c>
      <c r="AC33" s="14">
        <f t="shared" si="9"/>
        <v>4.9999999999998934E-2</v>
      </c>
      <c r="AD33" s="14">
        <f t="shared" si="9"/>
        <v>-4.9999999999997158E-2</v>
      </c>
      <c r="AE33" s="85">
        <f t="shared" si="9"/>
        <v>2.9999999999999361E-2</v>
      </c>
      <c r="AF33" s="14">
        <f t="shared" si="9"/>
        <v>33.75</v>
      </c>
    </row>
    <row r="35" spans="1:32" x14ac:dyDescent="0.3">
      <c r="B35" s="49" t="s">
        <v>308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 t="s">
        <v>371</v>
      </c>
      <c r="N35" s="49"/>
      <c r="O35" s="49"/>
      <c r="P35" s="49"/>
      <c r="Q35" s="49"/>
      <c r="R35" s="49"/>
      <c r="S35" s="49"/>
      <c r="T35" s="49" t="s">
        <v>372</v>
      </c>
      <c r="U35" s="49"/>
      <c r="V35" s="49"/>
      <c r="W35" s="49"/>
      <c r="X35" s="49"/>
      <c r="Y35" s="49"/>
      <c r="Z35" s="49"/>
      <c r="AA35" s="49" t="s">
        <v>371</v>
      </c>
      <c r="AB35" s="49"/>
      <c r="AC35" s="49"/>
      <c r="AD35" s="49"/>
      <c r="AE35" s="49"/>
      <c r="AF35" s="49"/>
    </row>
  </sheetData>
  <conditionalFormatting sqref="B2:AF2">
    <cfRule type="cellIs" dxfId="15" priority="1" operator="equal">
      <formula>40</formula>
    </cfRule>
    <cfRule type="cellIs" dxfId="14" priority="2" operator="greaterThan">
      <formula>40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DD31-F268-4DB9-BB0D-136AC2A7FC04}">
  <dimension ref="A1:AE36"/>
  <sheetViews>
    <sheetView workbookViewId="0">
      <selection activeCell="L1" sqref="L1:L1048576"/>
    </sheetView>
  </sheetViews>
  <sheetFormatPr defaultRowHeight="14.4" x14ac:dyDescent="0.3"/>
  <cols>
    <col min="1" max="1" width="16" bestFit="1" customWidth="1"/>
    <col min="4" max="4" width="9.21875" customWidth="1"/>
    <col min="5" max="5" width="10.77734375" bestFit="1" customWidth="1"/>
    <col min="6" max="7" width="9.44140625" bestFit="1" customWidth="1"/>
    <col min="10" max="10" width="9.21875" customWidth="1"/>
    <col min="13" max="14" width="9.44140625" bestFit="1" customWidth="1"/>
    <col min="17" max="17" width="10.5546875" customWidth="1"/>
    <col min="18" max="18" width="9.44140625" bestFit="1" customWidth="1"/>
    <col min="20" max="20" width="9.44140625" bestFit="1" customWidth="1"/>
    <col min="25" max="25" width="10.21875" bestFit="1" customWidth="1"/>
    <col min="31" max="31" width="9.44140625" bestFit="1" customWidth="1"/>
  </cols>
  <sheetData>
    <row r="1" spans="1:31" x14ac:dyDescent="0.3">
      <c r="A1" s="3"/>
      <c r="B1" s="11">
        <v>45809</v>
      </c>
      <c r="C1" s="51">
        <v>45810</v>
      </c>
      <c r="D1" s="6">
        <v>45811</v>
      </c>
      <c r="E1" s="6">
        <v>45812</v>
      </c>
      <c r="F1" s="6">
        <v>45813</v>
      </c>
      <c r="G1" s="6">
        <v>45814</v>
      </c>
      <c r="H1" s="11">
        <v>45815</v>
      </c>
      <c r="I1" s="11">
        <v>45816</v>
      </c>
      <c r="J1" s="6">
        <v>45817</v>
      </c>
      <c r="K1" s="6">
        <v>45818</v>
      </c>
      <c r="L1" s="6">
        <v>45819</v>
      </c>
      <c r="M1" s="6">
        <v>45820</v>
      </c>
      <c r="N1" s="6">
        <v>45821</v>
      </c>
      <c r="O1" s="11">
        <v>45822</v>
      </c>
      <c r="P1" s="11">
        <v>45823</v>
      </c>
      <c r="Q1" s="6">
        <v>45824</v>
      </c>
      <c r="R1" s="6">
        <v>45825</v>
      </c>
      <c r="S1" s="6">
        <v>45826</v>
      </c>
      <c r="T1" s="6">
        <v>45827</v>
      </c>
      <c r="U1" s="51">
        <v>45828</v>
      </c>
      <c r="V1" s="11">
        <v>45829</v>
      </c>
      <c r="W1" s="11">
        <v>45830</v>
      </c>
      <c r="X1" s="6">
        <v>45831</v>
      </c>
      <c r="Y1" s="6">
        <v>45832</v>
      </c>
      <c r="Z1" s="6">
        <v>45833</v>
      </c>
      <c r="AA1" s="6">
        <v>45834</v>
      </c>
      <c r="AB1" s="6">
        <v>45835</v>
      </c>
      <c r="AC1" s="11">
        <v>45836</v>
      </c>
      <c r="AD1" s="11">
        <v>45837</v>
      </c>
      <c r="AE1" s="6">
        <v>45838</v>
      </c>
    </row>
    <row r="2" spans="1:31" x14ac:dyDescent="0.3">
      <c r="A2" s="1" t="s">
        <v>0</v>
      </c>
      <c r="B2" s="12">
        <f>B4+B6+B8+B10+B12+B14+B16+B18+B20+B22+B24+B26+B28+B30+B32</f>
        <v>0</v>
      </c>
      <c r="C2" s="52">
        <f>C4+C6+C8+C10+C12+C14+C16+C18+C20+C22+C24+C26+C28+C30+C32</f>
        <v>0</v>
      </c>
      <c r="D2" s="2">
        <f t="shared" ref="D2:AE2" si="0">D4+D6+D8+D10+D12+D14+D16+D18+D20+D22+D24+D26+D28+D30+D32</f>
        <v>33.75</v>
      </c>
      <c r="E2" s="2">
        <f t="shared" si="0"/>
        <v>33.799999999999997</v>
      </c>
      <c r="F2" s="2">
        <f t="shared" si="0"/>
        <v>33.700000000000003</v>
      </c>
      <c r="G2" s="2">
        <f t="shared" si="0"/>
        <v>33.700000000000003</v>
      </c>
      <c r="H2" s="12">
        <f t="shared" si="0"/>
        <v>0</v>
      </c>
      <c r="I2" s="12">
        <f t="shared" si="0"/>
        <v>0</v>
      </c>
      <c r="J2" s="2">
        <f t="shared" si="0"/>
        <v>32.349999999999994</v>
      </c>
      <c r="K2" s="2">
        <f t="shared" si="0"/>
        <v>25.6</v>
      </c>
      <c r="L2" s="2">
        <f>L4+L6+L8+L10+L12+L14+L16+L18+L20+L22+L24+L26+L28+L30+L32</f>
        <v>32.39</v>
      </c>
      <c r="M2" s="2">
        <f t="shared" si="0"/>
        <v>32.39</v>
      </c>
      <c r="N2" s="2">
        <f t="shared" si="0"/>
        <v>32.4</v>
      </c>
      <c r="O2" s="12">
        <f t="shared" si="0"/>
        <v>0</v>
      </c>
      <c r="P2" s="12">
        <f t="shared" si="0"/>
        <v>0</v>
      </c>
      <c r="Q2" s="2">
        <f t="shared" si="0"/>
        <v>28.700000000000003</v>
      </c>
      <c r="R2" s="2">
        <f t="shared" si="0"/>
        <v>28.8</v>
      </c>
      <c r="S2" s="2">
        <f>S4+S6+S8+S10+S12+S14+S16+S18+S20+S22+S24+S26+S28+S30+S32</f>
        <v>29.9</v>
      </c>
      <c r="T2" s="2">
        <f>T4+T6+T8+T10+T12+T14+T16+T18+T20+T22+T24+T26+T28+T30+T32</f>
        <v>29.47</v>
      </c>
      <c r="U2" s="52">
        <f t="shared" si="0"/>
        <v>0</v>
      </c>
      <c r="V2" s="12">
        <f t="shared" si="0"/>
        <v>0</v>
      </c>
      <c r="W2" s="12">
        <f t="shared" si="0"/>
        <v>0</v>
      </c>
      <c r="X2" s="2">
        <f t="shared" si="0"/>
        <v>32.4</v>
      </c>
      <c r="Y2" s="2">
        <f t="shared" si="0"/>
        <v>32.369999999999997</v>
      </c>
      <c r="Z2" s="2">
        <f t="shared" si="0"/>
        <v>15.5</v>
      </c>
      <c r="AA2" s="2">
        <f>AA4+AA6+AA8+AA10+AA12+AA14+AA16+AA18+AA20+AA22+AA24+AA26+AA28+AA30+AA32</f>
        <v>28.15</v>
      </c>
      <c r="AB2" s="2">
        <f t="shared" si="0"/>
        <v>32.4</v>
      </c>
      <c r="AC2" s="12">
        <f t="shared" si="0"/>
        <v>0</v>
      </c>
      <c r="AD2" s="12">
        <f t="shared" si="0"/>
        <v>0</v>
      </c>
      <c r="AE2" s="2">
        <f t="shared" si="0"/>
        <v>37.200000000000003</v>
      </c>
    </row>
    <row r="3" spans="1:31" x14ac:dyDescent="0.3">
      <c r="A3" s="3" t="s">
        <v>1</v>
      </c>
      <c r="B3" s="13"/>
      <c r="C3" s="53"/>
      <c r="D3" s="21" t="s">
        <v>2</v>
      </c>
      <c r="E3" t="s">
        <v>373</v>
      </c>
      <c r="F3" s="17" t="s">
        <v>374</v>
      </c>
      <c r="G3" s="17" t="s">
        <v>375</v>
      </c>
      <c r="H3" s="13"/>
      <c r="I3" s="13"/>
      <c r="J3" s="21" t="s">
        <v>2</v>
      </c>
      <c r="K3" t="s">
        <v>376</v>
      </c>
      <c r="L3" t="s">
        <v>377</v>
      </c>
      <c r="M3" t="s">
        <v>378</v>
      </c>
      <c r="N3" t="s">
        <v>379</v>
      </c>
      <c r="O3" s="13"/>
      <c r="P3" s="13"/>
      <c r="Q3" s="21" t="s">
        <v>2</v>
      </c>
      <c r="R3" s="8" t="s">
        <v>380</v>
      </c>
      <c r="S3" s="8" t="s">
        <v>381</v>
      </c>
      <c r="T3" s="8" t="s">
        <v>382</v>
      </c>
      <c r="U3" s="52"/>
      <c r="V3" s="13"/>
      <c r="W3" s="13"/>
      <c r="X3" s="21" t="s">
        <v>2</v>
      </c>
      <c r="Y3" s="19" t="s">
        <v>383</v>
      </c>
      <c r="Z3" t="s">
        <v>384</v>
      </c>
      <c r="AA3" t="s">
        <v>385</v>
      </c>
      <c r="AB3" t="s">
        <v>386</v>
      </c>
      <c r="AC3" s="13"/>
      <c r="AD3" s="13"/>
      <c r="AE3" s="21" t="s">
        <v>2</v>
      </c>
    </row>
    <row r="4" spans="1:31" x14ac:dyDescent="0.3">
      <c r="A4" s="4" t="s">
        <v>13</v>
      </c>
      <c r="B4" s="13"/>
      <c r="C4" s="53"/>
      <c r="D4" s="22">
        <v>20</v>
      </c>
      <c r="E4" s="5">
        <v>32.799999999999997</v>
      </c>
      <c r="F4" s="18">
        <v>21</v>
      </c>
      <c r="G4" s="18">
        <v>10.3</v>
      </c>
      <c r="H4" s="13"/>
      <c r="I4" s="13"/>
      <c r="J4" s="22">
        <v>17</v>
      </c>
      <c r="K4" s="5">
        <v>11</v>
      </c>
      <c r="L4" s="5">
        <v>2.77</v>
      </c>
      <c r="M4" s="5">
        <v>2.94</v>
      </c>
      <c r="N4" s="5">
        <v>23</v>
      </c>
      <c r="O4" s="13"/>
      <c r="P4" s="13"/>
      <c r="Q4" s="22">
        <v>3</v>
      </c>
      <c r="R4" s="7">
        <v>8.8000000000000007</v>
      </c>
      <c r="S4" s="7">
        <v>29.9</v>
      </c>
      <c r="T4" s="7">
        <v>23.9</v>
      </c>
      <c r="U4" s="52"/>
      <c r="V4" s="13"/>
      <c r="W4" s="13"/>
      <c r="X4" s="22">
        <v>20</v>
      </c>
      <c r="Y4" s="20">
        <v>9.1999999999999993</v>
      </c>
      <c r="Z4" s="5">
        <v>5</v>
      </c>
      <c r="AA4" s="5">
        <v>6.35</v>
      </c>
      <c r="AB4" s="5">
        <v>5.5</v>
      </c>
      <c r="AC4" s="13"/>
      <c r="AD4" s="13"/>
      <c r="AE4" s="22">
        <v>5</v>
      </c>
    </row>
    <row r="5" spans="1:31" x14ac:dyDescent="0.3">
      <c r="A5" s="3" t="s">
        <v>1</v>
      </c>
      <c r="B5" s="13"/>
      <c r="C5" s="53"/>
      <c r="D5" s="23" t="s">
        <v>14</v>
      </c>
      <c r="E5" t="s">
        <v>387</v>
      </c>
      <c r="F5" t="s">
        <v>388</v>
      </c>
      <c r="G5" t="s">
        <v>389</v>
      </c>
      <c r="H5" s="13"/>
      <c r="I5" s="13"/>
      <c r="J5" s="23" t="s">
        <v>14</v>
      </c>
      <c r="K5" t="s">
        <v>390</v>
      </c>
      <c r="L5" t="s">
        <v>391</v>
      </c>
      <c r="M5" t="s">
        <v>392</v>
      </c>
      <c r="N5" s="17" t="s">
        <v>393</v>
      </c>
      <c r="O5" s="13"/>
      <c r="P5" s="13"/>
      <c r="Q5" s="23" t="s">
        <v>14</v>
      </c>
      <c r="R5" s="19" t="s">
        <v>394</v>
      </c>
      <c r="S5" s="8"/>
      <c r="T5" s="8" t="s">
        <v>395</v>
      </c>
      <c r="U5" s="52"/>
      <c r="V5" s="13"/>
      <c r="W5" s="13"/>
      <c r="X5" s="23" t="s">
        <v>14</v>
      </c>
      <c r="Y5" s="8" t="s">
        <v>396</v>
      </c>
      <c r="AA5" t="s">
        <v>397</v>
      </c>
      <c r="AB5" t="s">
        <v>398</v>
      </c>
      <c r="AC5" s="13"/>
      <c r="AD5" s="13"/>
      <c r="AE5" s="23" t="s">
        <v>14</v>
      </c>
    </row>
    <row r="6" spans="1:31" x14ac:dyDescent="0.3">
      <c r="A6" s="4" t="s">
        <v>13</v>
      </c>
      <c r="B6" s="13"/>
      <c r="C6" s="53"/>
      <c r="D6" s="24">
        <v>5</v>
      </c>
      <c r="E6" s="5">
        <v>1</v>
      </c>
      <c r="F6" s="5">
        <v>12.7</v>
      </c>
      <c r="G6" s="5">
        <v>5</v>
      </c>
      <c r="H6" s="13"/>
      <c r="I6" s="13"/>
      <c r="J6" s="24">
        <v>5</v>
      </c>
      <c r="K6" s="5">
        <v>9.1999999999999993</v>
      </c>
      <c r="L6" s="5">
        <v>2.77</v>
      </c>
      <c r="M6" s="5">
        <v>0.5</v>
      </c>
      <c r="N6" s="18">
        <v>2.7</v>
      </c>
      <c r="O6" s="13"/>
      <c r="P6" s="13"/>
      <c r="Q6" s="24">
        <v>5</v>
      </c>
      <c r="R6" s="20">
        <v>6.8</v>
      </c>
      <c r="S6" s="7"/>
      <c r="T6" s="7">
        <v>2.77</v>
      </c>
      <c r="U6" s="52"/>
      <c r="V6" s="13"/>
      <c r="W6" s="13"/>
      <c r="X6" s="24">
        <v>5</v>
      </c>
      <c r="Y6" s="7">
        <v>2.6</v>
      </c>
      <c r="Z6" s="5"/>
      <c r="AA6" s="5">
        <v>3.5</v>
      </c>
      <c r="AB6" s="5">
        <v>4.5999999999999996</v>
      </c>
      <c r="AC6" s="13"/>
      <c r="AD6" s="13"/>
      <c r="AE6" s="24">
        <v>5</v>
      </c>
    </row>
    <row r="7" spans="1:31" x14ac:dyDescent="0.3">
      <c r="A7" s="3" t="s">
        <v>1</v>
      </c>
      <c r="B7" s="13"/>
      <c r="C7" s="53"/>
      <c r="D7" t="s">
        <v>399</v>
      </c>
      <c r="E7" s="70" t="s">
        <v>400</v>
      </c>
      <c r="G7" t="s">
        <v>401</v>
      </c>
      <c r="H7" s="13"/>
      <c r="I7" s="13"/>
      <c r="J7" s="17" t="s">
        <v>402</v>
      </c>
      <c r="K7" t="s">
        <v>403</v>
      </c>
      <c r="L7" t="s">
        <v>404</v>
      </c>
      <c r="M7" t="s">
        <v>405</v>
      </c>
      <c r="N7" t="s">
        <v>406</v>
      </c>
      <c r="O7" s="13"/>
      <c r="P7" s="13"/>
      <c r="Q7" s="8" t="s">
        <v>407</v>
      </c>
      <c r="R7" s="8"/>
      <c r="S7" s="8"/>
      <c r="T7" s="8" t="s">
        <v>408</v>
      </c>
      <c r="U7" s="52"/>
      <c r="V7" s="13"/>
      <c r="W7" s="13"/>
      <c r="X7" s="8" t="s">
        <v>409</v>
      </c>
      <c r="Y7" s="19" t="s">
        <v>410</v>
      </c>
      <c r="AA7" t="s">
        <v>411</v>
      </c>
      <c r="AB7" t="s">
        <v>412</v>
      </c>
      <c r="AC7" s="13"/>
      <c r="AD7" s="13"/>
      <c r="AE7" t="s">
        <v>413</v>
      </c>
    </row>
    <row r="8" spans="1:31" x14ac:dyDescent="0.3">
      <c r="A8" s="4" t="s">
        <v>13</v>
      </c>
      <c r="B8" s="13"/>
      <c r="C8" s="53"/>
      <c r="D8" s="5">
        <v>1.5</v>
      </c>
      <c r="E8" s="5"/>
      <c r="F8" s="5"/>
      <c r="G8" s="5">
        <v>2.8</v>
      </c>
      <c r="H8" s="13"/>
      <c r="I8" s="13"/>
      <c r="J8" s="17">
        <v>4.4000000000000004</v>
      </c>
      <c r="K8" s="5">
        <v>2.1</v>
      </c>
      <c r="L8" s="63">
        <v>2.6</v>
      </c>
      <c r="M8" s="5">
        <v>3.2</v>
      </c>
      <c r="N8" s="5">
        <v>6.7</v>
      </c>
      <c r="O8" s="13"/>
      <c r="P8" s="13"/>
      <c r="Q8" s="7">
        <v>8.8000000000000007</v>
      </c>
      <c r="R8" s="7"/>
      <c r="S8" s="7"/>
      <c r="T8" s="7">
        <v>2.8</v>
      </c>
      <c r="U8" s="52"/>
      <c r="V8" s="13"/>
      <c r="W8" s="13"/>
      <c r="X8" s="7">
        <v>7.4</v>
      </c>
      <c r="Y8" s="20">
        <v>1.4</v>
      </c>
      <c r="Z8" s="5"/>
      <c r="AA8" s="5">
        <v>2</v>
      </c>
      <c r="AB8" s="5">
        <v>22.3</v>
      </c>
      <c r="AC8" s="13"/>
      <c r="AD8" s="13"/>
      <c r="AE8" s="5">
        <v>4.5</v>
      </c>
    </row>
    <row r="9" spans="1:31" x14ac:dyDescent="0.3">
      <c r="A9" s="3" t="s">
        <v>1</v>
      </c>
      <c r="B9" s="13"/>
      <c r="C9" s="53"/>
      <c r="D9" s="17" t="s">
        <v>414</v>
      </c>
      <c r="G9" t="s">
        <v>415</v>
      </c>
      <c r="H9" s="13"/>
      <c r="I9" s="13"/>
      <c r="J9" t="s">
        <v>416</v>
      </c>
      <c r="L9" t="s">
        <v>417</v>
      </c>
      <c r="M9" t="s">
        <v>418</v>
      </c>
      <c r="O9" s="13"/>
      <c r="P9" s="13"/>
      <c r="Q9" s="8"/>
      <c r="R9" s="8" t="s">
        <v>419</v>
      </c>
      <c r="S9" s="8"/>
      <c r="T9" s="8"/>
      <c r="U9" s="52"/>
      <c r="V9" s="13"/>
      <c r="W9" s="13"/>
      <c r="X9" s="8"/>
      <c r="Y9" s="8" t="s">
        <v>420</v>
      </c>
      <c r="AA9" t="s">
        <v>421</v>
      </c>
      <c r="AC9" s="13"/>
      <c r="AD9" s="13"/>
      <c r="AE9" s="17" t="s">
        <v>422</v>
      </c>
    </row>
    <row r="10" spans="1:31" x14ac:dyDescent="0.3">
      <c r="A10" s="4" t="s">
        <v>13</v>
      </c>
      <c r="B10" s="13"/>
      <c r="C10" s="53"/>
      <c r="D10" s="18">
        <v>3.25</v>
      </c>
      <c r="E10" s="5"/>
      <c r="F10" s="5"/>
      <c r="G10" s="5">
        <v>15.6</v>
      </c>
      <c r="H10" s="13"/>
      <c r="I10" s="13"/>
      <c r="J10" s="5">
        <v>2.95</v>
      </c>
      <c r="K10" s="5"/>
      <c r="L10" s="5">
        <v>2.95</v>
      </c>
      <c r="M10" s="5">
        <v>2.6</v>
      </c>
      <c r="N10" s="5"/>
      <c r="O10" s="13"/>
      <c r="P10" s="13"/>
      <c r="Q10" s="7"/>
      <c r="R10" s="7">
        <v>13.2</v>
      </c>
      <c r="S10" s="7"/>
      <c r="T10" s="7"/>
      <c r="U10" s="52"/>
      <c r="V10" s="13"/>
      <c r="W10" s="13"/>
      <c r="X10" s="7"/>
      <c r="Y10" s="7">
        <v>2.6</v>
      </c>
      <c r="Z10" s="5"/>
      <c r="AA10" s="5">
        <v>2.2999999999999998</v>
      </c>
      <c r="AB10" s="5"/>
      <c r="AC10" s="13"/>
      <c r="AD10" s="13"/>
      <c r="AE10" s="18">
        <v>5.9</v>
      </c>
    </row>
    <row r="11" spans="1:31" x14ac:dyDescent="0.3">
      <c r="A11" s="3" t="s">
        <v>1</v>
      </c>
      <c r="B11" s="13"/>
      <c r="C11" s="53"/>
      <c r="D11" t="s">
        <v>423</v>
      </c>
      <c r="H11" s="13"/>
      <c r="I11" s="13"/>
      <c r="J11" t="s">
        <v>424</v>
      </c>
      <c r="K11" t="s">
        <v>425</v>
      </c>
      <c r="L11" t="s">
        <v>426</v>
      </c>
      <c r="M11" s="17" t="s">
        <v>427</v>
      </c>
      <c r="O11" s="13"/>
      <c r="P11" s="13"/>
      <c r="Q11" s="8" t="s">
        <v>428</v>
      </c>
      <c r="R11" s="8"/>
      <c r="S11" s="8"/>
      <c r="T11" s="8"/>
      <c r="U11" s="52"/>
      <c r="V11" s="13"/>
      <c r="W11" s="13"/>
      <c r="X11" s="8"/>
      <c r="Y11" s="8" t="s">
        <v>429</v>
      </c>
      <c r="AA11" t="s">
        <v>430</v>
      </c>
      <c r="AC11" s="13"/>
      <c r="AD11" s="13"/>
      <c r="AE11" t="s">
        <v>431</v>
      </c>
    </row>
    <row r="12" spans="1:31" x14ac:dyDescent="0.3">
      <c r="A12" s="4" t="s">
        <v>13</v>
      </c>
      <c r="B12" s="13"/>
      <c r="C12" s="53"/>
      <c r="D12" s="5">
        <v>4</v>
      </c>
      <c r="E12" s="5"/>
      <c r="F12" s="5"/>
      <c r="G12" s="5"/>
      <c r="H12" s="13"/>
      <c r="I12" s="13"/>
      <c r="J12" s="5">
        <v>3</v>
      </c>
      <c r="K12" s="5">
        <v>3.3</v>
      </c>
      <c r="L12" s="5">
        <v>2.4</v>
      </c>
      <c r="M12" s="18">
        <v>2.8</v>
      </c>
      <c r="N12" s="5"/>
      <c r="O12" s="13"/>
      <c r="P12" s="13"/>
      <c r="Q12" s="7">
        <v>5</v>
      </c>
      <c r="R12" s="7"/>
      <c r="S12" s="7"/>
      <c r="T12" s="7"/>
      <c r="U12" s="52"/>
      <c r="V12" s="13"/>
      <c r="W12" s="13"/>
      <c r="X12" s="7"/>
      <c r="Y12" s="7">
        <v>5.6</v>
      </c>
      <c r="Z12" s="5"/>
      <c r="AA12" s="5">
        <v>8.5</v>
      </c>
      <c r="AB12" s="5"/>
      <c r="AC12" s="13"/>
      <c r="AD12" s="13"/>
      <c r="AE12" s="5">
        <v>16.8</v>
      </c>
    </row>
    <row r="13" spans="1:31" x14ac:dyDescent="0.3">
      <c r="A13" s="3" t="s">
        <v>1</v>
      </c>
      <c r="B13" s="13"/>
      <c r="C13" s="53"/>
      <c r="H13" s="13"/>
      <c r="I13" s="13"/>
      <c r="L13" t="s">
        <v>432</v>
      </c>
      <c r="O13" s="13"/>
      <c r="P13" s="13"/>
      <c r="Q13" s="19" t="s">
        <v>433</v>
      </c>
      <c r="R13" s="8"/>
      <c r="S13" s="8"/>
      <c r="T13" s="8"/>
      <c r="U13" s="52"/>
      <c r="V13" s="13"/>
      <c r="W13" s="13"/>
      <c r="X13" s="8"/>
      <c r="Y13" s="8" t="s">
        <v>434</v>
      </c>
      <c r="Z13" t="s">
        <v>435</v>
      </c>
      <c r="AC13" s="13"/>
      <c r="AD13" s="13"/>
    </row>
    <row r="14" spans="1:31" x14ac:dyDescent="0.3">
      <c r="A14" s="4" t="s">
        <v>13</v>
      </c>
      <c r="B14" s="13"/>
      <c r="C14" s="53"/>
      <c r="D14" s="5"/>
      <c r="E14" s="5"/>
      <c r="F14" s="5"/>
      <c r="G14" s="5"/>
      <c r="H14" s="13"/>
      <c r="I14" s="13"/>
      <c r="J14" s="5"/>
      <c r="K14" s="5"/>
      <c r="L14" s="5">
        <v>12.1</v>
      </c>
      <c r="M14" s="5"/>
      <c r="N14" s="5"/>
      <c r="O14" s="13"/>
      <c r="P14" s="13"/>
      <c r="Q14" s="20">
        <v>4.3</v>
      </c>
      <c r="R14" s="7"/>
      <c r="S14" s="7"/>
      <c r="T14" s="7"/>
      <c r="U14" s="52"/>
      <c r="V14" s="13"/>
      <c r="W14" s="13"/>
      <c r="X14" s="7"/>
      <c r="Y14" s="7">
        <v>3.3</v>
      </c>
      <c r="Z14" s="5">
        <v>5.6</v>
      </c>
      <c r="AA14" s="5"/>
      <c r="AB14" s="5"/>
      <c r="AC14" s="13"/>
      <c r="AD14" s="13"/>
      <c r="AE14" s="5"/>
    </row>
    <row r="15" spans="1:31" x14ac:dyDescent="0.3">
      <c r="A15" s="3" t="s">
        <v>1</v>
      </c>
      <c r="B15" s="13"/>
      <c r="C15" s="53"/>
      <c r="H15" s="13"/>
      <c r="I15" s="13"/>
      <c r="L15" t="s">
        <v>436</v>
      </c>
      <c r="M15" t="s">
        <v>437</v>
      </c>
      <c r="O15" s="13"/>
      <c r="P15" s="13"/>
      <c r="Q15" s="8" t="s">
        <v>438</v>
      </c>
      <c r="R15" s="8"/>
      <c r="S15" s="8"/>
      <c r="T15" s="8"/>
      <c r="U15" s="52"/>
      <c r="V15" s="13"/>
      <c r="W15" s="13"/>
      <c r="X15" s="8"/>
      <c r="Y15" s="8" t="s">
        <v>439</v>
      </c>
      <c r="Z15" t="s">
        <v>440</v>
      </c>
      <c r="AA15" t="s">
        <v>441</v>
      </c>
      <c r="AC15" s="13"/>
      <c r="AD15" s="13"/>
    </row>
    <row r="16" spans="1:31" x14ac:dyDescent="0.3">
      <c r="A16" s="4" t="s">
        <v>13</v>
      </c>
      <c r="B16" s="13"/>
      <c r="C16" s="53"/>
      <c r="D16" s="5"/>
      <c r="E16" s="5"/>
      <c r="F16" s="5"/>
      <c r="G16" s="5"/>
      <c r="H16" s="13"/>
      <c r="I16" s="13"/>
      <c r="J16" s="5"/>
      <c r="K16" s="5"/>
      <c r="L16" s="5">
        <v>5.2</v>
      </c>
      <c r="M16" s="5">
        <v>3.1</v>
      </c>
      <c r="N16" s="5"/>
      <c r="O16" s="13"/>
      <c r="P16" s="13"/>
      <c r="Q16" s="7">
        <v>2.6</v>
      </c>
      <c r="R16" s="7"/>
      <c r="S16" s="7"/>
      <c r="T16" s="7"/>
      <c r="U16" s="52"/>
      <c r="V16" s="13"/>
      <c r="W16" s="13"/>
      <c r="X16" s="7"/>
      <c r="Y16" s="7">
        <v>2.77</v>
      </c>
      <c r="Z16" s="5">
        <v>4.9000000000000004</v>
      </c>
      <c r="AA16" s="5">
        <v>5.5</v>
      </c>
      <c r="AB16" s="5"/>
      <c r="AC16" s="13"/>
      <c r="AD16" s="13"/>
      <c r="AE16" s="5"/>
    </row>
    <row r="17" spans="1:31" x14ac:dyDescent="0.3">
      <c r="A17" s="3" t="s">
        <v>1</v>
      </c>
      <c r="B17" s="13"/>
      <c r="C17" s="53"/>
      <c r="H17" s="13"/>
      <c r="I17" s="13"/>
      <c r="L17" t="s">
        <v>442</v>
      </c>
      <c r="M17" t="s">
        <v>443</v>
      </c>
      <c r="O17" s="13"/>
      <c r="P17" s="13"/>
      <c r="Q17" s="8"/>
      <c r="R17" s="8"/>
      <c r="S17" s="8"/>
      <c r="T17" s="8"/>
      <c r="U17" s="52"/>
      <c r="V17" s="13"/>
      <c r="W17" s="13"/>
      <c r="X17" s="8"/>
      <c r="Y17" s="86" t="s">
        <v>444</v>
      </c>
      <c r="AC17" s="13"/>
      <c r="AD17" s="13"/>
    </row>
    <row r="18" spans="1:31" x14ac:dyDescent="0.3">
      <c r="A18" s="4" t="s">
        <v>13</v>
      </c>
      <c r="B18" s="13"/>
      <c r="C18" s="53"/>
      <c r="D18" s="5"/>
      <c r="E18" s="5"/>
      <c r="F18" s="5"/>
      <c r="G18" s="5"/>
      <c r="H18" s="13"/>
      <c r="I18" s="13"/>
      <c r="J18" s="5"/>
      <c r="K18" s="5"/>
      <c r="L18" s="5">
        <v>1.6</v>
      </c>
      <c r="M18" s="5">
        <v>4.5999999999999996</v>
      </c>
      <c r="N18" s="5"/>
      <c r="O18" s="13"/>
      <c r="P18" s="13"/>
      <c r="Q18" s="7"/>
      <c r="R18" s="7"/>
      <c r="S18" s="7"/>
      <c r="T18" s="7"/>
      <c r="U18" s="52"/>
      <c r="V18" s="13"/>
      <c r="W18" s="13"/>
      <c r="X18" s="7"/>
      <c r="Y18" s="87">
        <v>4.9000000000000004</v>
      </c>
      <c r="Z18" s="5"/>
      <c r="AA18" s="5"/>
      <c r="AB18" s="5"/>
      <c r="AC18" s="13"/>
      <c r="AD18" s="13"/>
      <c r="AE18" s="5"/>
    </row>
    <row r="19" spans="1:31" x14ac:dyDescent="0.3">
      <c r="A19" s="3" t="s">
        <v>1</v>
      </c>
      <c r="B19" s="13"/>
      <c r="C19" s="53"/>
      <c r="H19" s="13"/>
      <c r="I19" s="13"/>
      <c r="M19" t="s">
        <v>445</v>
      </c>
      <c r="O19" s="13"/>
      <c r="P19" s="13"/>
      <c r="Q19" s="8"/>
      <c r="R19" s="8"/>
      <c r="S19" s="8"/>
      <c r="T19" s="8"/>
      <c r="U19" s="52"/>
      <c r="V19" s="13"/>
      <c r="W19" s="13"/>
      <c r="X19" s="8"/>
      <c r="Y19" s="8"/>
      <c r="AC19" s="13"/>
      <c r="AD19" s="13"/>
    </row>
    <row r="20" spans="1:31" x14ac:dyDescent="0.3">
      <c r="A20" s="4" t="s">
        <v>13</v>
      </c>
      <c r="B20" s="13"/>
      <c r="C20" s="53"/>
      <c r="D20" s="5"/>
      <c r="E20" s="5"/>
      <c r="F20" s="5"/>
      <c r="G20" s="5"/>
      <c r="H20" s="13"/>
      <c r="I20" s="13"/>
      <c r="J20" s="5"/>
      <c r="K20" s="5"/>
      <c r="L20" s="5"/>
      <c r="M20" s="5">
        <v>2.6</v>
      </c>
      <c r="N20" s="5"/>
      <c r="O20" s="13"/>
      <c r="P20" s="13"/>
      <c r="Q20" s="7"/>
      <c r="R20" s="7"/>
      <c r="S20" s="7"/>
      <c r="T20" s="7"/>
      <c r="U20" s="52"/>
      <c r="V20" s="13"/>
      <c r="W20" s="13"/>
      <c r="X20" s="7"/>
      <c r="Y20" s="7"/>
      <c r="Z20" s="5"/>
      <c r="AA20" s="5"/>
      <c r="AB20" s="5"/>
      <c r="AC20" s="13"/>
      <c r="AD20" s="13"/>
      <c r="AE20" s="5"/>
    </row>
    <row r="21" spans="1:31" x14ac:dyDescent="0.3">
      <c r="A21" s="3" t="s">
        <v>1</v>
      </c>
      <c r="B21" s="13"/>
      <c r="C21" s="53"/>
      <c r="H21" s="13"/>
      <c r="I21" s="13"/>
      <c r="M21" t="s">
        <v>446</v>
      </c>
      <c r="O21" s="13"/>
      <c r="P21" s="13"/>
      <c r="Q21" s="8"/>
      <c r="R21" s="8"/>
      <c r="S21" s="8"/>
      <c r="T21" s="8"/>
      <c r="U21" s="52"/>
      <c r="V21" s="13"/>
      <c r="W21" s="13"/>
      <c r="X21" s="8"/>
      <c r="Y21" s="8"/>
      <c r="AC21" s="13"/>
      <c r="AD21" s="13"/>
    </row>
    <row r="22" spans="1:31" x14ac:dyDescent="0.3">
      <c r="A22" s="4" t="s">
        <v>13</v>
      </c>
      <c r="B22" s="13"/>
      <c r="C22" s="53"/>
      <c r="D22" s="5"/>
      <c r="E22" s="5"/>
      <c r="F22" s="5"/>
      <c r="G22" s="5"/>
      <c r="H22" s="13"/>
      <c r="I22" s="13"/>
      <c r="J22" s="5"/>
      <c r="K22" s="5"/>
      <c r="L22" s="5"/>
      <c r="M22" s="5">
        <v>1.75</v>
      </c>
      <c r="N22" s="5"/>
      <c r="O22" s="13"/>
      <c r="P22" s="13"/>
      <c r="Q22" s="7"/>
      <c r="R22" s="7"/>
      <c r="S22" s="7"/>
      <c r="T22" s="7"/>
      <c r="U22" s="52"/>
      <c r="V22" s="13"/>
      <c r="W22" s="13"/>
      <c r="X22" s="7"/>
      <c r="Y22" s="7"/>
      <c r="Z22" s="5"/>
      <c r="AA22" s="5"/>
      <c r="AB22" s="5"/>
      <c r="AC22" s="13"/>
      <c r="AD22" s="13"/>
      <c r="AE22" s="5"/>
    </row>
    <row r="23" spans="1:31" x14ac:dyDescent="0.3">
      <c r="A23" s="3" t="s">
        <v>1</v>
      </c>
      <c r="B23" s="13"/>
      <c r="C23" s="53"/>
      <c r="H23" s="13"/>
      <c r="I23" s="13"/>
      <c r="M23" t="s">
        <v>447</v>
      </c>
      <c r="O23" s="13"/>
      <c r="P23" s="13"/>
      <c r="Q23" s="8"/>
      <c r="R23" s="8"/>
      <c r="S23" s="8"/>
      <c r="T23" s="8"/>
      <c r="U23" s="52"/>
      <c r="V23" s="13"/>
      <c r="W23" s="13"/>
      <c r="X23" s="8"/>
      <c r="Y23" s="8"/>
      <c r="AC23" s="13"/>
      <c r="AD23" s="13"/>
    </row>
    <row r="24" spans="1:31" x14ac:dyDescent="0.3">
      <c r="A24" s="4" t="s">
        <v>13</v>
      </c>
      <c r="B24" s="13"/>
      <c r="C24" s="53"/>
      <c r="D24" s="5"/>
      <c r="E24" s="5"/>
      <c r="F24" s="5"/>
      <c r="G24" s="5"/>
      <c r="H24" s="13"/>
      <c r="I24" s="13"/>
      <c r="J24" s="5"/>
      <c r="K24" s="5"/>
      <c r="L24" s="5"/>
      <c r="M24" s="5">
        <v>8.3000000000000007</v>
      </c>
      <c r="N24" s="5"/>
      <c r="O24" s="13"/>
      <c r="P24" s="13"/>
      <c r="Q24" s="7"/>
      <c r="R24" s="7"/>
      <c r="S24" s="7"/>
      <c r="T24" s="7"/>
      <c r="U24" s="52"/>
      <c r="V24" s="13"/>
      <c r="W24" s="13"/>
      <c r="X24" s="7"/>
      <c r="Y24" s="7"/>
      <c r="Z24" s="5"/>
      <c r="AA24" s="5"/>
      <c r="AB24" s="5"/>
      <c r="AC24" s="13"/>
      <c r="AD24" s="13"/>
      <c r="AE24" s="5"/>
    </row>
    <row r="25" spans="1:31" x14ac:dyDescent="0.3">
      <c r="A25" s="3" t="s">
        <v>1</v>
      </c>
      <c r="B25" s="13"/>
      <c r="C25" s="53"/>
      <c r="H25" s="13"/>
      <c r="I25" s="13"/>
      <c r="O25" s="13"/>
      <c r="P25" s="13"/>
      <c r="Q25" s="8"/>
      <c r="R25" s="8"/>
      <c r="S25" s="8"/>
      <c r="T25" s="8"/>
      <c r="U25" s="52"/>
      <c r="V25" s="13"/>
      <c r="W25" s="13"/>
      <c r="X25" s="8"/>
      <c r="Y25" s="8"/>
      <c r="AC25" s="13"/>
      <c r="AD25" s="13"/>
    </row>
    <row r="26" spans="1:31" x14ac:dyDescent="0.3">
      <c r="A26" s="4" t="s">
        <v>13</v>
      </c>
      <c r="B26" s="13"/>
      <c r="C26" s="53"/>
      <c r="D26" s="5"/>
      <c r="E26" s="5"/>
      <c r="F26" s="5"/>
      <c r="G26" s="5"/>
      <c r="H26" s="13"/>
      <c r="I26" s="13"/>
      <c r="J26" s="5"/>
      <c r="K26" s="5"/>
      <c r="L26" s="5"/>
      <c r="M26" s="5"/>
      <c r="N26" s="5"/>
      <c r="O26" s="13"/>
      <c r="P26" s="13"/>
      <c r="Q26" s="7"/>
      <c r="R26" s="7"/>
      <c r="S26" s="7"/>
      <c r="T26" s="7"/>
      <c r="U26" s="52"/>
      <c r="V26" s="13"/>
      <c r="W26" s="13"/>
      <c r="X26" s="7"/>
      <c r="Y26" s="7"/>
      <c r="Z26" s="5"/>
      <c r="AA26" s="5"/>
      <c r="AB26" s="5"/>
      <c r="AC26" s="13"/>
      <c r="AD26" s="13"/>
      <c r="AE26" s="5"/>
    </row>
    <row r="27" spans="1:31" x14ac:dyDescent="0.3">
      <c r="A27" s="3" t="s">
        <v>1</v>
      </c>
      <c r="B27" s="13"/>
      <c r="C27" s="53"/>
      <c r="H27" s="13"/>
      <c r="I27" s="13"/>
      <c r="O27" s="13"/>
      <c r="P27" s="13"/>
      <c r="Q27" s="8"/>
      <c r="R27" s="8"/>
      <c r="S27" s="8"/>
      <c r="T27" s="8"/>
      <c r="U27" s="52"/>
      <c r="V27" s="13"/>
      <c r="W27" s="13"/>
      <c r="X27" s="8"/>
      <c r="Y27" s="8"/>
      <c r="AC27" s="13"/>
      <c r="AD27" s="13"/>
    </row>
    <row r="28" spans="1:31" x14ac:dyDescent="0.3">
      <c r="A28" s="4" t="s">
        <v>13</v>
      </c>
      <c r="B28" s="13"/>
      <c r="C28" s="53"/>
      <c r="D28" s="5"/>
      <c r="E28" s="5"/>
      <c r="F28" s="5"/>
      <c r="G28" s="5"/>
      <c r="H28" s="13"/>
      <c r="I28" s="13"/>
      <c r="J28" s="5"/>
      <c r="K28" s="5"/>
      <c r="L28" s="5"/>
      <c r="M28" s="5"/>
      <c r="N28" s="5"/>
      <c r="O28" s="13"/>
      <c r="P28" s="13"/>
      <c r="Q28" s="7"/>
      <c r="R28" s="7"/>
      <c r="S28" s="7"/>
      <c r="T28" s="7"/>
      <c r="U28" s="52"/>
      <c r="V28" s="13"/>
      <c r="W28" s="13"/>
      <c r="X28" s="7"/>
      <c r="Y28" s="7"/>
      <c r="Z28" s="5"/>
      <c r="AA28" s="5"/>
      <c r="AB28" s="5"/>
      <c r="AC28" s="13"/>
      <c r="AD28" s="13"/>
      <c r="AE28" s="5"/>
    </row>
    <row r="29" spans="1:31" x14ac:dyDescent="0.3">
      <c r="A29" s="3" t="s">
        <v>1</v>
      </c>
      <c r="B29" s="13"/>
      <c r="C29" s="53"/>
      <c r="H29" s="13"/>
      <c r="I29" s="13"/>
      <c r="O29" s="13"/>
      <c r="P29" s="13"/>
      <c r="Q29" s="8"/>
      <c r="R29" s="8"/>
      <c r="S29" s="8"/>
      <c r="T29" s="8"/>
      <c r="U29" s="52"/>
      <c r="V29" s="13"/>
      <c r="W29" s="13"/>
      <c r="X29" s="8"/>
      <c r="Y29" s="8"/>
      <c r="AC29" s="13"/>
      <c r="AD29" s="13"/>
    </row>
    <row r="30" spans="1:31" x14ac:dyDescent="0.3">
      <c r="A30" s="4" t="s">
        <v>13</v>
      </c>
      <c r="B30" s="13"/>
      <c r="C30" s="53"/>
      <c r="D30" s="5"/>
      <c r="E30" s="5"/>
      <c r="F30" s="5"/>
      <c r="G30" s="5"/>
      <c r="H30" s="13"/>
      <c r="I30" s="13"/>
      <c r="J30" s="5"/>
      <c r="K30" s="5"/>
      <c r="L30" s="5"/>
      <c r="M30" s="5"/>
      <c r="N30" s="5"/>
      <c r="O30" s="13"/>
      <c r="P30" s="13"/>
      <c r="Q30" s="7"/>
      <c r="R30" s="7"/>
      <c r="S30" s="7"/>
      <c r="T30" s="7"/>
      <c r="U30" s="52"/>
      <c r="V30" s="13"/>
      <c r="W30" s="13"/>
      <c r="X30" s="7"/>
      <c r="Y30" s="7"/>
      <c r="Z30" s="5"/>
      <c r="AA30" s="5"/>
      <c r="AB30" s="5"/>
      <c r="AC30" s="13"/>
      <c r="AD30" s="13"/>
      <c r="AE30" s="5"/>
    </row>
    <row r="31" spans="1:31" x14ac:dyDescent="0.3">
      <c r="A31" s="3" t="s">
        <v>1</v>
      </c>
      <c r="B31" s="13"/>
      <c r="C31" s="53"/>
      <c r="H31" s="13"/>
      <c r="I31" s="13"/>
      <c r="O31" s="13"/>
      <c r="P31" s="13"/>
      <c r="Q31" s="8"/>
      <c r="R31" s="8"/>
      <c r="S31" s="8"/>
      <c r="T31" s="8"/>
      <c r="U31" s="52"/>
      <c r="V31" s="13"/>
      <c r="W31" s="13"/>
      <c r="X31" s="8"/>
      <c r="Y31" s="8"/>
      <c r="AC31" s="13"/>
      <c r="AD31" s="13"/>
    </row>
    <row r="32" spans="1:31" x14ac:dyDescent="0.3">
      <c r="A32" s="4" t="s">
        <v>13</v>
      </c>
      <c r="B32" s="13"/>
      <c r="C32" s="53"/>
      <c r="D32" s="5"/>
      <c r="E32" s="5"/>
      <c r="F32" s="5"/>
      <c r="G32" s="5"/>
      <c r="H32" s="13"/>
      <c r="I32" s="13"/>
      <c r="J32" s="5"/>
      <c r="K32" s="5"/>
      <c r="L32" s="5"/>
      <c r="M32" s="5"/>
      <c r="N32" s="5"/>
      <c r="O32" s="13"/>
      <c r="P32" s="13"/>
      <c r="Q32" s="7"/>
      <c r="R32" s="7"/>
      <c r="S32" s="7"/>
      <c r="T32" s="7"/>
      <c r="U32" s="52"/>
      <c r="V32" s="13"/>
      <c r="W32" s="13"/>
      <c r="X32" s="7"/>
      <c r="Y32" s="7"/>
      <c r="Z32" s="5"/>
      <c r="AA32" s="5"/>
      <c r="AB32" s="5"/>
      <c r="AC32" s="13"/>
      <c r="AD32" s="13"/>
      <c r="AE32" s="5"/>
    </row>
    <row r="33" spans="1:31" x14ac:dyDescent="0.3">
      <c r="A33" s="9" t="s">
        <v>59</v>
      </c>
      <c r="B33" s="14">
        <f>40-B4-B6-B8-B10-B12-B14-B16-B18-B20-B22-B24-B26-B28-B30-B32</f>
        <v>40</v>
      </c>
      <c r="C33" s="54">
        <f>27-C4-C6-C8-C10-C12-C14-C16-C18-C20-C22-C24-C26-C28-C30-C32</f>
        <v>27</v>
      </c>
      <c r="D33" s="14">
        <f>33.75-D4-D6-D8-D10-D12-D14-D16-D18-D20-D22-D24-D26-D28-D30-D32</f>
        <v>0</v>
      </c>
      <c r="E33" s="14">
        <f t="shared" ref="E33:G33" si="1">33.75-E4-E6-E8-E10-E12-E14-E16-E18-E20-E22-E24-E26-E28-E30-E32</f>
        <v>-4.9999999999997158E-2</v>
      </c>
      <c r="F33" s="14">
        <f t="shared" si="1"/>
        <v>5.0000000000000711E-2</v>
      </c>
      <c r="G33" s="14">
        <f t="shared" si="1"/>
        <v>4.9999999999998934E-2</v>
      </c>
      <c r="H33" s="14">
        <f t="shared" ref="H33" si="2">27-H4-H6-H8-H10-H12-H14-H16-H18-H20-H22-H24-H26-H28-H30-H32</f>
        <v>27</v>
      </c>
      <c r="I33" s="14">
        <f t="shared" ref="I33" si="3">27-I4-I6-I8-I10-I12-I14-I16-I18-I20-I22-I24-I26-I28-I30-I32</f>
        <v>27</v>
      </c>
      <c r="J33" s="14">
        <f>32.4-J4-J6-J8-J10-J12-J14-J16-J18-J20-J22-J24-J26-J28-J30-J32</f>
        <v>4.9999999999998046E-2</v>
      </c>
      <c r="K33" s="10">
        <f t="shared" ref="K33:AD33" si="4">32.4-K4-K6-K8-K10-K12-K14-K16-K18-K20-K22-K24-K26-K28-K30-K32</f>
        <v>6.8</v>
      </c>
      <c r="L33" s="14">
        <f>32.4-L4-L6-L8-L10-L12-L14-L16-L18-L20-L22-L24-L26-L28-L30-L32</f>
        <v>1.0000000000000231E-2</v>
      </c>
      <c r="M33" s="14">
        <f t="shared" si="4"/>
        <v>9.9999999999944578E-3</v>
      </c>
      <c r="N33" s="14">
        <f t="shared" si="4"/>
        <v>-1.7763568394002505E-15</v>
      </c>
      <c r="O33" s="14">
        <f t="shared" si="4"/>
        <v>32.4</v>
      </c>
      <c r="P33" s="14">
        <f t="shared" si="4"/>
        <v>32.4</v>
      </c>
      <c r="Q33" s="10">
        <f>33.75-Q4-Q6-Q8-Q10-Q12-Q14-Q16-Q18-Q20-Q22-Q24-Q26-Q28-Q30-Q32</f>
        <v>5.0499999999999989</v>
      </c>
      <c r="R33" s="10">
        <f t="shared" ref="R33:U33" si="5">33.75-R4-R6-R8-R10-R12-R14-R16-R18-R20-R22-R24-R26-R28-R30-R32</f>
        <v>4.9499999999999993</v>
      </c>
      <c r="S33" s="10">
        <f t="shared" si="5"/>
        <v>3.8500000000000014</v>
      </c>
      <c r="T33" s="10">
        <f t="shared" si="5"/>
        <v>4.280000000000002</v>
      </c>
      <c r="U33" s="62">
        <f t="shared" si="5"/>
        <v>33.75</v>
      </c>
      <c r="V33" s="14">
        <f t="shared" ref="V33:W33" si="6">27-V4-V6-V8-V10-V12-V14-V16-V18-V20-V22-V24-V26-V28-V30-V32</f>
        <v>27</v>
      </c>
      <c r="W33" s="14">
        <f t="shared" si="6"/>
        <v>27</v>
      </c>
      <c r="X33" s="14">
        <f t="shared" si="4"/>
        <v>-1.7763568394002505E-15</v>
      </c>
      <c r="Y33" s="14">
        <f t="shared" si="4"/>
        <v>2.9999999999997584E-2</v>
      </c>
      <c r="Z33" s="10">
        <f t="shared" si="4"/>
        <v>16.899999999999999</v>
      </c>
      <c r="AA33" s="10">
        <f t="shared" si="4"/>
        <v>4.2499999999999964</v>
      </c>
      <c r="AB33" s="14">
        <f t="shared" si="4"/>
        <v>-3.5527136788005009E-15</v>
      </c>
      <c r="AC33" s="14">
        <f t="shared" si="4"/>
        <v>32.4</v>
      </c>
      <c r="AD33" s="14">
        <f t="shared" si="4"/>
        <v>32.4</v>
      </c>
      <c r="AE33" s="14">
        <f>37.2-AE4-AE6-AE8-AE10-AE12-AE14-AE16-AE18-AE20-AE22-AE24-AE26-AE28-AE30-AE32</f>
        <v>3.5527136788005009E-15</v>
      </c>
    </row>
    <row r="34" spans="1:31" x14ac:dyDescent="0.3">
      <c r="C34" s="27" t="s">
        <v>448</v>
      </c>
      <c r="U34" s="27" t="s">
        <v>449</v>
      </c>
    </row>
    <row r="35" spans="1:31" x14ac:dyDescent="0.3">
      <c r="C35" s="27" t="s">
        <v>450</v>
      </c>
      <c r="D35" s="80" t="s">
        <v>451</v>
      </c>
      <c r="E35" s="80"/>
      <c r="F35" s="80"/>
      <c r="G35" s="80"/>
      <c r="H35" s="80"/>
      <c r="I35" s="80"/>
      <c r="J35" s="80" t="s">
        <v>372</v>
      </c>
      <c r="K35" s="80"/>
      <c r="L35" s="80"/>
      <c r="M35" s="80"/>
      <c r="N35" s="80"/>
      <c r="O35" s="80"/>
      <c r="P35" s="80"/>
      <c r="Q35" s="80" t="s">
        <v>372</v>
      </c>
      <c r="R35" s="80"/>
      <c r="S35" s="80"/>
      <c r="T35" s="80"/>
      <c r="U35" s="80"/>
      <c r="V35" s="80"/>
      <c r="W35" s="80"/>
      <c r="X35" s="80" t="s">
        <v>372</v>
      </c>
      <c r="Y35" s="80"/>
      <c r="Z35" s="80"/>
    </row>
    <row r="36" spans="1:31" x14ac:dyDescent="0.3">
      <c r="D36" t="s">
        <v>452</v>
      </c>
    </row>
  </sheetData>
  <conditionalFormatting sqref="B2:AE2">
    <cfRule type="cellIs" dxfId="13" priority="1" operator="equal">
      <formula>40</formula>
    </cfRule>
    <cfRule type="cellIs" dxfId="12" priority="2" operator="greaterThan">
      <formula>40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D8C7-CA76-481C-B417-145EF2FCDD65}">
  <dimension ref="A1:AF33"/>
  <sheetViews>
    <sheetView workbookViewId="0">
      <selection activeCell="AE33" sqref="AE33"/>
    </sheetView>
  </sheetViews>
  <sheetFormatPr defaultRowHeight="14.4" x14ac:dyDescent="0.3"/>
  <cols>
    <col min="1" max="1" width="16" bestFit="1" customWidth="1"/>
    <col min="2" max="5" width="9.44140625" bestFit="1" customWidth="1"/>
    <col min="9" max="9" width="9.44140625" bestFit="1" customWidth="1"/>
    <col min="12" max="12" width="9.44140625" bestFit="1" customWidth="1"/>
    <col min="17" max="19" width="9.44140625" bestFit="1" customWidth="1"/>
    <col min="22" max="23" width="9.44140625" bestFit="1" customWidth="1"/>
    <col min="25" max="26" width="9.44140625" bestFit="1" customWidth="1"/>
    <col min="31" max="31" width="9.44140625" bestFit="1" customWidth="1"/>
  </cols>
  <sheetData>
    <row r="1" spans="1:32" x14ac:dyDescent="0.3">
      <c r="A1" s="3"/>
      <c r="B1" s="6">
        <v>45839</v>
      </c>
      <c r="C1" s="6">
        <v>45840</v>
      </c>
      <c r="D1" s="6">
        <v>45841</v>
      </c>
      <c r="E1" s="6">
        <v>45842</v>
      </c>
      <c r="F1" s="11">
        <v>45843</v>
      </c>
      <c r="G1" s="11">
        <v>45844</v>
      </c>
      <c r="H1" s="6">
        <v>45845</v>
      </c>
      <c r="I1" s="6">
        <v>45846</v>
      </c>
      <c r="J1" s="6">
        <v>45847</v>
      </c>
      <c r="K1" s="6">
        <v>45848</v>
      </c>
      <c r="L1" s="6">
        <v>45849</v>
      </c>
      <c r="M1" s="11">
        <v>45850</v>
      </c>
      <c r="N1" s="11">
        <v>45851</v>
      </c>
      <c r="O1" s="6">
        <v>45852</v>
      </c>
      <c r="P1" s="6">
        <v>45853</v>
      </c>
      <c r="Q1" s="6">
        <v>45854</v>
      </c>
      <c r="R1" s="6">
        <v>45855</v>
      </c>
      <c r="S1" s="6">
        <v>45856</v>
      </c>
      <c r="T1" s="11">
        <v>45857</v>
      </c>
      <c r="U1" s="11">
        <v>45858</v>
      </c>
      <c r="V1" s="6">
        <v>45859</v>
      </c>
      <c r="W1" s="6">
        <v>45860</v>
      </c>
      <c r="X1" s="6">
        <v>45861</v>
      </c>
      <c r="Y1" s="6">
        <v>45862</v>
      </c>
      <c r="Z1" s="6">
        <v>45863</v>
      </c>
      <c r="AA1" s="11">
        <v>45864</v>
      </c>
      <c r="AB1" s="11">
        <v>45865</v>
      </c>
      <c r="AC1" s="6">
        <v>45866</v>
      </c>
      <c r="AD1" s="6">
        <v>45867</v>
      </c>
      <c r="AE1" s="6">
        <v>45868</v>
      </c>
      <c r="AF1" s="6">
        <v>45869</v>
      </c>
    </row>
    <row r="2" spans="1:32" x14ac:dyDescent="0.3">
      <c r="A2" s="1" t="s">
        <v>0</v>
      </c>
      <c r="B2" s="2">
        <f>B4+B6+B8+B10+B12+B14+B16+B18+B20+B22+B24+B26+B28+B30+B32</f>
        <v>30.5</v>
      </c>
      <c r="C2" s="2">
        <f>C4+C6+C8+C10+C12+C14+C16+C18+C20+C22+C24+C26+C28+C30+C32</f>
        <v>0</v>
      </c>
      <c r="D2" s="2">
        <f t="shared" ref="D2:AF2" si="0">D4+D6+D8+D10+D12+D14+D16+D18+D20+D22+D24+D26+D28+D30+D32</f>
        <v>36.200000000000003</v>
      </c>
      <c r="E2" s="2">
        <f t="shared" si="0"/>
        <v>37.199999999999996</v>
      </c>
      <c r="F2" s="12">
        <f t="shared" si="0"/>
        <v>0</v>
      </c>
      <c r="G2" s="12">
        <f t="shared" si="0"/>
        <v>0</v>
      </c>
      <c r="H2" s="2">
        <f t="shared" si="0"/>
        <v>36.5</v>
      </c>
      <c r="I2" s="2">
        <f t="shared" si="0"/>
        <v>34.800000000000004</v>
      </c>
      <c r="J2" s="2">
        <f t="shared" si="0"/>
        <v>33.799999999999997</v>
      </c>
      <c r="K2" s="2">
        <f t="shared" si="0"/>
        <v>37.200000000000003</v>
      </c>
      <c r="L2" s="2">
        <f t="shared" si="0"/>
        <v>37.200000000000003</v>
      </c>
      <c r="M2" s="12">
        <f t="shared" si="0"/>
        <v>0</v>
      </c>
      <c r="N2" s="12">
        <f t="shared" si="0"/>
        <v>0</v>
      </c>
      <c r="O2" s="2">
        <f t="shared" si="0"/>
        <v>32.349999999999994</v>
      </c>
      <c r="P2" s="2">
        <f t="shared" si="0"/>
        <v>2.77</v>
      </c>
      <c r="Q2" s="2">
        <f t="shared" si="0"/>
        <v>32.450000000000003</v>
      </c>
      <c r="R2" s="2">
        <f t="shared" si="0"/>
        <v>32.44</v>
      </c>
      <c r="S2" s="2">
        <f>S4+S6+S8+S10+S12+S14+S16+S18+S20+S22+S24+S26+S28+S30+S32</f>
        <v>24.6</v>
      </c>
      <c r="T2" s="12">
        <f>T4+T6+T8+T10+T12+T14+T16+T18+T20+T22+T24+T26+T28+T30+T32</f>
        <v>0</v>
      </c>
      <c r="U2" s="12">
        <f t="shared" si="0"/>
        <v>0</v>
      </c>
      <c r="V2" s="2">
        <f t="shared" si="0"/>
        <v>32.4</v>
      </c>
      <c r="W2" s="2">
        <f t="shared" si="0"/>
        <v>32.4</v>
      </c>
      <c r="X2" s="2">
        <f t="shared" si="0"/>
        <v>32.4</v>
      </c>
      <c r="Y2" s="2">
        <f t="shared" si="0"/>
        <v>24.4</v>
      </c>
      <c r="Z2" s="2">
        <f t="shared" si="0"/>
        <v>27.6</v>
      </c>
      <c r="AA2" s="12">
        <f>AA4+AA6+AA8+AA10+AA12+AA14+AA16+AA18+AA20+AA22+AA24+AA26+AA28+AA30+AA32</f>
        <v>0</v>
      </c>
      <c r="AB2" s="12">
        <f t="shared" si="0"/>
        <v>0</v>
      </c>
      <c r="AC2" s="2">
        <f t="shared" si="0"/>
        <v>30.299999999999997</v>
      </c>
      <c r="AD2" s="2">
        <f t="shared" si="0"/>
        <v>32.4</v>
      </c>
      <c r="AE2" s="2">
        <f t="shared" si="0"/>
        <v>26.1</v>
      </c>
      <c r="AF2" s="2">
        <f t="shared" si="0"/>
        <v>32.4</v>
      </c>
    </row>
    <row r="3" spans="1:32" x14ac:dyDescent="0.3">
      <c r="A3" s="3" t="s">
        <v>1</v>
      </c>
      <c r="B3" s="8" t="s">
        <v>453</v>
      </c>
      <c r="C3" s="8"/>
      <c r="D3" s="8" t="s">
        <v>454</v>
      </c>
      <c r="E3" s="19" t="s">
        <v>454</v>
      </c>
      <c r="F3" s="12"/>
      <c r="G3" s="12"/>
      <c r="H3" s="89" t="s">
        <v>2</v>
      </c>
      <c r="I3" s="8" t="s">
        <v>455</v>
      </c>
      <c r="J3" s="8" t="s">
        <v>456</v>
      </c>
      <c r="K3" s="8" t="s">
        <v>457</v>
      </c>
      <c r="L3" s="19" t="s">
        <v>458</v>
      </c>
      <c r="M3" s="12"/>
      <c r="N3" s="12"/>
      <c r="O3" s="89" t="s">
        <v>2</v>
      </c>
      <c r="P3" s="8" t="s">
        <v>459</v>
      </c>
      <c r="Q3" s="19" t="s">
        <v>460</v>
      </c>
      <c r="R3" s="8" t="s">
        <v>461</v>
      </c>
      <c r="S3" s="8"/>
      <c r="T3" s="12"/>
      <c r="U3" s="12"/>
      <c r="V3" s="89" t="s">
        <v>2</v>
      </c>
      <c r="W3" s="8" t="s">
        <v>462</v>
      </c>
      <c r="X3" s="8" t="s">
        <v>463</v>
      </c>
      <c r="Y3" s="19" t="s">
        <v>464</v>
      </c>
      <c r="Z3" s="8" t="s">
        <v>465</v>
      </c>
      <c r="AA3" s="12"/>
      <c r="AB3" s="12"/>
      <c r="AC3" s="89" t="s">
        <v>2</v>
      </c>
      <c r="AD3" s="8" t="s">
        <v>466</v>
      </c>
      <c r="AE3" s="8" t="s">
        <v>467</v>
      </c>
      <c r="AF3" s="8" t="s">
        <v>468</v>
      </c>
    </row>
    <row r="4" spans="1:32" x14ac:dyDescent="0.3">
      <c r="A4" s="4" t="s">
        <v>13</v>
      </c>
      <c r="B4" s="7">
        <v>13.2</v>
      </c>
      <c r="C4" s="65"/>
      <c r="D4" s="7">
        <v>36.200000000000003</v>
      </c>
      <c r="E4" s="20">
        <v>13.8</v>
      </c>
      <c r="F4" s="12"/>
      <c r="G4" s="12"/>
      <c r="H4" s="90">
        <v>20</v>
      </c>
      <c r="I4" s="65">
        <v>11</v>
      </c>
      <c r="J4" s="7">
        <v>12.9</v>
      </c>
      <c r="K4" s="7">
        <v>37.200000000000003</v>
      </c>
      <c r="L4" s="20">
        <v>18</v>
      </c>
      <c r="M4" s="12"/>
      <c r="N4" s="12"/>
      <c r="O4" s="90">
        <v>5</v>
      </c>
      <c r="P4" s="7">
        <v>2.77</v>
      </c>
      <c r="Q4" s="20">
        <v>1.4</v>
      </c>
      <c r="R4" s="7">
        <v>2.77</v>
      </c>
      <c r="S4" s="65"/>
      <c r="T4" s="12"/>
      <c r="U4" s="12"/>
      <c r="V4" s="90">
        <v>20</v>
      </c>
      <c r="W4" s="7">
        <v>23</v>
      </c>
      <c r="X4" s="65">
        <v>15.6</v>
      </c>
      <c r="Y4" s="20">
        <v>3</v>
      </c>
      <c r="Z4" s="65">
        <v>17.600000000000001</v>
      </c>
      <c r="AA4" s="12"/>
      <c r="AB4" s="12"/>
      <c r="AC4" s="90">
        <v>20</v>
      </c>
      <c r="AD4" s="7">
        <v>12</v>
      </c>
      <c r="AE4" s="7">
        <v>2.6</v>
      </c>
      <c r="AF4" s="7">
        <v>32.4</v>
      </c>
    </row>
    <row r="5" spans="1:32" x14ac:dyDescent="0.3">
      <c r="A5" s="3" t="s">
        <v>1</v>
      </c>
      <c r="B5" s="19" t="s">
        <v>469</v>
      </c>
      <c r="C5" s="8"/>
      <c r="D5" s="8"/>
      <c r="E5" s="8" t="s">
        <v>470</v>
      </c>
      <c r="F5" s="12"/>
      <c r="G5" s="12"/>
      <c r="H5" s="91" t="s">
        <v>14</v>
      </c>
      <c r="I5" s="8" t="s">
        <v>471</v>
      </c>
      <c r="J5" s="8" t="s">
        <v>472</v>
      </c>
      <c r="K5" s="8"/>
      <c r="L5" s="8" t="s">
        <v>473</v>
      </c>
      <c r="M5" s="12"/>
      <c r="N5" s="12"/>
      <c r="O5" s="91" t="s">
        <v>14</v>
      </c>
      <c r="P5" s="8"/>
      <c r="Q5" s="8" t="s">
        <v>474</v>
      </c>
      <c r="R5" s="8" t="s">
        <v>475</v>
      </c>
      <c r="S5" s="19" t="s">
        <v>476</v>
      </c>
      <c r="T5" s="12"/>
      <c r="U5" s="12"/>
      <c r="V5" s="91" t="s">
        <v>14</v>
      </c>
      <c r="W5" s="8" t="s">
        <v>477</v>
      </c>
      <c r="X5" s="8" t="s">
        <v>478</v>
      </c>
      <c r="Y5" s="8"/>
      <c r="Z5" s="8" t="s">
        <v>479</v>
      </c>
      <c r="AA5" s="12"/>
      <c r="AB5" s="12"/>
      <c r="AC5" s="91" t="s">
        <v>14</v>
      </c>
      <c r="AD5" s="8" t="s">
        <v>480</v>
      </c>
      <c r="AE5" s="19" t="s">
        <v>481</v>
      </c>
      <c r="AF5" s="8"/>
    </row>
    <row r="6" spans="1:32" x14ac:dyDescent="0.3">
      <c r="A6" s="4" t="s">
        <v>13</v>
      </c>
      <c r="B6" s="20">
        <v>11.7</v>
      </c>
      <c r="C6" s="7"/>
      <c r="D6" s="7"/>
      <c r="E6" s="7">
        <v>4.0999999999999996</v>
      </c>
      <c r="F6" s="12"/>
      <c r="G6" s="12"/>
      <c r="H6" s="92">
        <v>5</v>
      </c>
      <c r="I6" s="7">
        <v>5.2</v>
      </c>
      <c r="J6" s="7">
        <v>12.9</v>
      </c>
      <c r="K6" s="7"/>
      <c r="L6" s="7">
        <v>2.6</v>
      </c>
      <c r="M6" s="12"/>
      <c r="N6" s="12"/>
      <c r="O6" s="92">
        <v>5</v>
      </c>
      <c r="P6" s="7"/>
      <c r="Q6" s="7">
        <v>2.95</v>
      </c>
      <c r="R6" s="7">
        <v>2.77</v>
      </c>
      <c r="S6" s="19">
        <v>4.3</v>
      </c>
      <c r="T6" s="12"/>
      <c r="U6" s="12"/>
      <c r="V6" s="92">
        <v>5</v>
      </c>
      <c r="W6" s="65">
        <v>4.8</v>
      </c>
      <c r="X6" s="7">
        <v>3.8</v>
      </c>
      <c r="Y6" s="7"/>
      <c r="Z6" s="7">
        <v>4.3</v>
      </c>
      <c r="AA6" s="12"/>
      <c r="AB6" s="12"/>
      <c r="AC6" s="92">
        <v>5</v>
      </c>
      <c r="AD6" s="7">
        <v>20.399999999999999</v>
      </c>
      <c r="AE6" s="20">
        <v>9.5</v>
      </c>
      <c r="AF6" s="7"/>
    </row>
    <row r="7" spans="1:32" x14ac:dyDescent="0.3">
      <c r="A7" s="3" t="s">
        <v>1</v>
      </c>
      <c r="B7" s="8" t="s">
        <v>482</v>
      </c>
      <c r="C7" s="8"/>
      <c r="D7" s="8"/>
      <c r="E7" s="8" t="s">
        <v>483</v>
      </c>
      <c r="F7" s="12"/>
      <c r="G7" s="12"/>
      <c r="H7" s="8" t="s">
        <v>484</v>
      </c>
      <c r="I7" s="8" t="s">
        <v>485</v>
      </c>
      <c r="J7" s="8" t="s">
        <v>486</v>
      </c>
      <c r="K7" s="8"/>
      <c r="L7" s="8" t="s">
        <v>487</v>
      </c>
      <c r="M7" s="12"/>
      <c r="N7" s="12"/>
      <c r="O7" s="8" t="s">
        <v>488</v>
      </c>
      <c r="P7" s="8"/>
      <c r="Q7" s="8" t="s">
        <v>489</v>
      </c>
      <c r="R7" s="8" t="s">
        <v>490</v>
      </c>
      <c r="S7" s="8" t="s">
        <v>491</v>
      </c>
      <c r="T7" s="12"/>
      <c r="U7" s="12"/>
      <c r="V7" s="19" t="s">
        <v>492</v>
      </c>
      <c r="W7" s="19" t="s">
        <v>492</v>
      </c>
      <c r="X7" s="8" t="s">
        <v>493</v>
      </c>
      <c r="Y7" s="8" t="s">
        <v>494</v>
      </c>
      <c r="Z7" s="19" t="s">
        <v>495</v>
      </c>
      <c r="AA7" s="12"/>
      <c r="AB7" s="12"/>
      <c r="AC7" s="8" t="s">
        <v>496</v>
      </c>
      <c r="AD7" s="8"/>
      <c r="AE7" s="8"/>
      <c r="AF7" s="8"/>
    </row>
    <row r="8" spans="1:32" x14ac:dyDescent="0.3">
      <c r="A8" s="4" t="s">
        <v>13</v>
      </c>
      <c r="B8" s="65">
        <v>5.6</v>
      </c>
      <c r="C8" s="7"/>
      <c r="D8" s="7"/>
      <c r="E8" s="7">
        <v>3.5</v>
      </c>
      <c r="F8" s="12"/>
      <c r="G8" s="12"/>
      <c r="H8" s="7">
        <v>6</v>
      </c>
      <c r="I8" s="65">
        <v>5.2</v>
      </c>
      <c r="J8" s="7">
        <v>5.2</v>
      </c>
      <c r="K8" s="7"/>
      <c r="L8" s="7">
        <v>5.6</v>
      </c>
      <c r="M8" s="12"/>
      <c r="N8" s="12"/>
      <c r="O8" s="7">
        <v>6.65</v>
      </c>
      <c r="P8" s="7"/>
      <c r="Q8" s="7">
        <v>11.1</v>
      </c>
      <c r="R8" s="65">
        <v>13.8</v>
      </c>
      <c r="S8" s="7">
        <v>16.7</v>
      </c>
      <c r="T8" s="12"/>
      <c r="U8" s="12"/>
      <c r="V8" s="19">
        <v>7.4</v>
      </c>
      <c r="W8" s="20">
        <v>4.5999999999999996</v>
      </c>
      <c r="X8" s="7">
        <v>12.5</v>
      </c>
      <c r="Y8" s="7">
        <v>2.6</v>
      </c>
      <c r="Z8" s="20">
        <v>0.5</v>
      </c>
      <c r="AA8" s="12"/>
      <c r="AB8" s="12"/>
      <c r="AC8" s="7">
        <v>2.9</v>
      </c>
      <c r="AD8" s="7"/>
      <c r="AE8" s="7"/>
      <c r="AF8" s="7"/>
    </row>
    <row r="9" spans="1:32" x14ac:dyDescent="0.3">
      <c r="A9" s="3" t="s">
        <v>1</v>
      </c>
      <c r="B9" s="8"/>
      <c r="C9" s="8"/>
      <c r="D9" s="8"/>
      <c r="E9" s="8" t="s">
        <v>497</v>
      </c>
      <c r="F9" s="12"/>
      <c r="G9" s="12"/>
      <c r="H9" s="8" t="s">
        <v>498</v>
      </c>
      <c r="I9" s="8" t="s">
        <v>499</v>
      </c>
      <c r="J9" s="8" t="s">
        <v>500</v>
      </c>
      <c r="K9" s="8"/>
      <c r="L9" s="8" t="s">
        <v>501</v>
      </c>
      <c r="M9" s="12"/>
      <c r="N9" s="12"/>
      <c r="O9" s="19" t="s">
        <v>502</v>
      </c>
      <c r="P9" s="8"/>
      <c r="Q9" s="8" t="s">
        <v>503</v>
      </c>
      <c r="R9" s="19" t="s">
        <v>476</v>
      </c>
      <c r="S9" s="8" t="s">
        <v>504</v>
      </c>
      <c r="T9" s="12"/>
      <c r="U9" s="12"/>
      <c r="V9" s="8"/>
      <c r="W9" s="8"/>
      <c r="X9" s="8" t="s">
        <v>505</v>
      </c>
      <c r="Y9" s="8" t="s">
        <v>506</v>
      </c>
      <c r="Z9" s="8" t="s">
        <v>507</v>
      </c>
      <c r="AA9" s="12"/>
      <c r="AB9" s="12"/>
      <c r="AC9" s="8" t="s">
        <v>508</v>
      </c>
      <c r="AD9" s="8"/>
      <c r="AE9" s="8" t="s">
        <v>509</v>
      </c>
      <c r="AF9" s="8"/>
    </row>
    <row r="10" spans="1:32" x14ac:dyDescent="0.3">
      <c r="A10" s="4" t="s">
        <v>13</v>
      </c>
      <c r="B10" s="7"/>
      <c r="C10" s="7"/>
      <c r="D10" s="7"/>
      <c r="E10" s="7">
        <v>5.2</v>
      </c>
      <c r="F10" s="12"/>
      <c r="G10" s="12"/>
      <c r="H10" s="7">
        <v>2.6</v>
      </c>
      <c r="I10" s="65">
        <v>2.6</v>
      </c>
      <c r="J10" s="7">
        <v>2.8</v>
      </c>
      <c r="K10" s="7"/>
      <c r="L10" s="65">
        <v>4.5999999999999996</v>
      </c>
      <c r="M10" s="12"/>
      <c r="N10" s="12"/>
      <c r="O10" s="20">
        <v>0.7</v>
      </c>
      <c r="P10" s="7"/>
      <c r="Q10" s="7">
        <v>4.5</v>
      </c>
      <c r="R10" s="20">
        <v>13.1</v>
      </c>
      <c r="S10" s="7">
        <v>3.6</v>
      </c>
      <c r="T10" s="12"/>
      <c r="U10" s="12"/>
      <c r="V10" s="7"/>
      <c r="W10" s="7"/>
      <c r="X10" s="7">
        <v>0.5</v>
      </c>
      <c r="Y10" s="7">
        <v>3.2</v>
      </c>
      <c r="Z10" s="7">
        <v>2.8</v>
      </c>
      <c r="AA10" s="12"/>
      <c r="AB10" s="12"/>
      <c r="AC10" s="7">
        <v>2.4</v>
      </c>
      <c r="AD10" s="7"/>
      <c r="AE10" s="7">
        <v>6</v>
      </c>
      <c r="AF10" s="7"/>
    </row>
    <row r="11" spans="1:32" x14ac:dyDescent="0.3">
      <c r="A11" s="3" t="s">
        <v>1</v>
      </c>
      <c r="B11" s="8"/>
      <c r="C11" s="8"/>
      <c r="D11" s="8"/>
      <c r="E11" s="8" t="s">
        <v>510</v>
      </c>
      <c r="F11" s="12"/>
      <c r="G11" s="12"/>
      <c r="H11" s="8" t="s">
        <v>511</v>
      </c>
      <c r="I11" s="8" t="s">
        <v>512</v>
      </c>
      <c r="J11" s="8"/>
      <c r="K11" s="8"/>
      <c r="L11" s="8" t="s">
        <v>502</v>
      </c>
      <c r="M11" s="12"/>
      <c r="N11" s="12"/>
      <c r="O11" s="8" t="s">
        <v>513</v>
      </c>
      <c r="P11" s="8"/>
      <c r="Q11" s="8" t="s">
        <v>514</v>
      </c>
      <c r="R11" s="8"/>
      <c r="S11" s="8"/>
      <c r="T11" s="12"/>
      <c r="U11" s="12"/>
      <c r="V11" s="8"/>
      <c r="W11" s="8"/>
      <c r="X11" s="8"/>
      <c r="Y11" s="8" t="s">
        <v>515</v>
      </c>
      <c r="Z11" s="8" t="s">
        <v>516</v>
      </c>
      <c r="AA11" s="12"/>
      <c r="AB11" s="12"/>
      <c r="AC11" s="8"/>
      <c r="AD11" s="8"/>
      <c r="AE11" s="8" t="s">
        <v>517</v>
      </c>
      <c r="AF11" s="8"/>
    </row>
    <row r="12" spans="1:32" x14ac:dyDescent="0.3">
      <c r="A12" s="4" t="s">
        <v>13</v>
      </c>
      <c r="B12" s="7"/>
      <c r="C12" s="7"/>
      <c r="D12" s="7"/>
      <c r="E12" s="7">
        <v>2.5</v>
      </c>
      <c r="F12" s="12"/>
      <c r="G12" s="12"/>
      <c r="H12" s="7">
        <v>2.9</v>
      </c>
      <c r="I12" s="7">
        <v>2.6</v>
      </c>
      <c r="J12" s="7"/>
      <c r="K12" s="7"/>
      <c r="L12" s="7">
        <v>0.8</v>
      </c>
      <c r="M12" s="12"/>
      <c r="N12" s="12"/>
      <c r="O12" s="7">
        <v>15</v>
      </c>
      <c r="P12" s="7"/>
      <c r="Q12" s="7">
        <v>9.9</v>
      </c>
      <c r="R12" s="7"/>
      <c r="S12" s="7"/>
      <c r="T12" s="12"/>
      <c r="U12" s="12"/>
      <c r="V12" s="7"/>
      <c r="W12" s="7"/>
      <c r="X12" s="7"/>
      <c r="Y12" s="7">
        <v>5</v>
      </c>
      <c r="Z12" s="7">
        <v>2.4</v>
      </c>
      <c r="AA12" s="12"/>
      <c r="AB12" s="12"/>
      <c r="AC12" s="7"/>
      <c r="AD12" s="7"/>
      <c r="AE12" s="7">
        <v>8</v>
      </c>
      <c r="AF12" s="7"/>
    </row>
    <row r="13" spans="1:32" x14ac:dyDescent="0.3">
      <c r="A13" s="3" t="s">
        <v>1</v>
      </c>
      <c r="B13" s="8"/>
      <c r="C13" s="8"/>
      <c r="D13" s="8"/>
      <c r="E13" s="8" t="s">
        <v>518</v>
      </c>
      <c r="F13" s="12"/>
      <c r="G13" s="12"/>
      <c r="H13" s="8"/>
      <c r="I13" s="8" t="s">
        <v>519</v>
      </c>
      <c r="J13" s="8"/>
      <c r="K13" s="8"/>
      <c r="L13" s="8" t="s">
        <v>520</v>
      </c>
      <c r="M13" s="12"/>
      <c r="N13" s="12"/>
      <c r="O13" s="8"/>
      <c r="P13" s="8"/>
      <c r="Q13" s="8" t="s">
        <v>521</v>
      </c>
      <c r="R13" s="8"/>
      <c r="S13" s="8"/>
      <c r="T13" s="12"/>
      <c r="U13" s="12"/>
      <c r="V13" s="8"/>
      <c r="W13" s="8"/>
      <c r="X13" s="8"/>
      <c r="Y13" t="s">
        <v>522</v>
      </c>
      <c r="Z13" s="8"/>
      <c r="AA13" s="12"/>
      <c r="AB13" s="12"/>
      <c r="AC13" s="8"/>
      <c r="AD13" s="8"/>
      <c r="AE13" s="8"/>
      <c r="AF13" s="8"/>
    </row>
    <row r="14" spans="1:32" x14ac:dyDescent="0.3">
      <c r="A14" s="4" t="s">
        <v>13</v>
      </c>
      <c r="B14" s="7"/>
      <c r="C14" s="7"/>
      <c r="D14" s="7"/>
      <c r="E14" s="7">
        <v>1.5</v>
      </c>
      <c r="F14" s="12"/>
      <c r="G14" s="12"/>
      <c r="H14" s="7"/>
      <c r="I14" s="7">
        <v>2.6</v>
      </c>
      <c r="J14" s="7"/>
      <c r="K14" s="7"/>
      <c r="L14" s="7">
        <v>5.6</v>
      </c>
      <c r="M14" s="12"/>
      <c r="N14" s="12"/>
      <c r="O14" s="7"/>
      <c r="P14" s="7"/>
      <c r="Q14" s="7">
        <v>2.6</v>
      </c>
      <c r="R14" s="7"/>
      <c r="S14" s="7"/>
      <c r="T14" s="12"/>
      <c r="U14" s="12"/>
      <c r="V14" s="7"/>
      <c r="W14" s="7"/>
      <c r="X14" s="7"/>
      <c r="Y14" s="7">
        <v>3.1</v>
      </c>
      <c r="Z14" s="7"/>
      <c r="AA14" s="12"/>
      <c r="AB14" s="12"/>
      <c r="AC14" s="7"/>
      <c r="AD14" s="7"/>
      <c r="AE14" s="7"/>
      <c r="AF14" s="7"/>
    </row>
    <row r="15" spans="1:32" x14ac:dyDescent="0.3">
      <c r="A15" s="3" t="s">
        <v>1</v>
      </c>
      <c r="B15" s="8"/>
      <c r="C15" s="8"/>
      <c r="D15" s="8"/>
      <c r="E15" s="8" t="s">
        <v>523</v>
      </c>
      <c r="F15" s="12"/>
      <c r="G15" s="12"/>
      <c r="H15" s="8"/>
      <c r="I15" s="8" t="s">
        <v>524</v>
      </c>
      <c r="J15" s="8"/>
      <c r="K15" s="8"/>
      <c r="L15" s="8"/>
      <c r="M15" s="12"/>
      <c r="N15" s="12"/>
      <c r="O15" s="8"/>
      <c r="P15" s="8"/>
      <c r="Q15" s="8"/>
      <c r="R15" s="8"/>
      <c r="S15" s="8"/>
      <c r="T15" s="12"/>
      <c r="U15" s="12"/>
      <c r="V15" s="8"/>
      <c r="W15" s="8"/>
      <c r="X15" s="8"/>
      <c r="Y15" s="8" t="s">
        <v>525</v>
      </c>
      <c r="Z15" s="8"/>
      <c r="AA15" s="12"/>
      <c r="AB15" s="12"/>
      <c r="AC15" s="8"/>
      <c r="AD15" s="8"/>
      <c r="AE15" s="8"/>
      <c r="AF15" s="8"/>
    </row>
    <row r="16" spans="1:32" x14ac:dyDescent="0.3">
      <c r="A16" s="4" t="s">
        <v>13</v>
      </c>
      <c r="B16" s="7"/>
      <c r="C16" s="7"/>
      <c r="D16" s="7"/>
      <c r="E16" s="7">
        <v>2.6</v>
      </c>
      <c r="F16" s="12"/>
      <c r="G16" s="12"/>
      <c r="H16" s="7"/>
      <c r="I16" s="7">
        <v>5.6</v>
      </c>
      <c r="J16" s="7"/>
      <c r="K16" s="7"/>
      <c r="L16" s="7"/>
      <c r="M16" s="12"/>
      <c r="N16" s="12"/>
      <c r="O16" s="7"/>
      <c r="P16" s="7"/>
      <c r="Q16" s="7"/>
      <c r="R16" s="7"/>
      <c r="S16" s="7"/>
      <c r="T16" s="12"/>
      <c r="U16" s="12"/>
      <c r="V16" s="7"/>
      <c r="W16" s="7"/>
      <c r="X16" s="7"/>
      <c r="Y16" s="7">
        <v>3.7</v>
      </c>
      <c r="Z16" s="7"/>
      <c r="AA16" s="12"/>
      <c r="AB16" s="12"/>
      <c r="AC16" s="7"/>
      <c r="AD16" s="7"/>
      <c r="AE16" s="7"/>
      <c r="AF16" s="7"/>
    </row>
    <row r="17" spans="1:32" x14ac:dyDescent="0.3">
      <c r="A17" s="3" t="s">
        <v>1</v>
      </c>
      <c r="B17" s="8"/>
      <c r="C17" s="8"/>
      <c r="D17" s="8"/>
      <c r="E17" s="8" t="s">
        <v>526</v>
      </c>
      <c r="F17" s="12"/>
      <c r="G17" s="12"/>
      <c r="H17" s="8"/>
      <c r="I17" s="8"/>
      <c r="J17" s="8"/>
      <c r="K17" s="8"/>
      <c r="L17" s="8"/>
      <c r="M17" s="12"/>
      <c r="N17" s="12"/>
      <c r="O17" s="8"/>
      <c r="P17" s="8"/>
      <c r="Q17" s="8"/>
      <c r="R17" s="8"/>
      <c r="S17" s="8"/>
      <c r="T17" s="12"/>
      <c r="U17" s="12"/>
      <c r="V17" s="8"/>
      <c r="W17" s="8"/>
      <c r="X17" s="8"/>
      <c r="Y17" s="8" t="s">
        <v>527</v>
      </c>
      <c r="Z17" s="8"/>
      <c r="AA17" s="12"/>
      <c r="AB17" s="12"/>
      <c r="AC17" s="8"/>
      <c r="AD17" s="8"/>
      <c r="AE17" s="8"/>
      <c r="AF17" s="8"/>
    </row>
    <row r="18" spans="1:32" x14ac:dyDescent="0.3">
      <c r="A18" s="4" t="s">
        <v>13</v>
      </c>
      <c r="B18" s="7"/>
      <c r="C18" s="7"/>
      <c r="D18" s="7"/>
      <c r="E18" s="7">
        <v>4</v>
      </c>
      <c r="F18" s="12"/>
      <c r="G18" s="12"/>
      <c r="H18" s="7"/>
      <c r="I18" s="7"/>
      <c r="J18" s="7"/>
      <c r="K18" s="7"/>
      <c r="L18" s="7"/>
      <c r="M18" s="12"/>
      <c r="N18" s="12"/>
      <c r="O18" s="7"/>
      <c r="P18" s="7"/>
      <c r="Q18" s="7"/>
      <c r="R18" s="7"/>
      <c r="S18" s="7"/>
      <c r="T18" s="12"/>
      <c r="U18" s="12"/>
      <c r="V18" s="7"/>
      <c r="W18" s="7"/>
      <c r="X18" s="7"/>
      <c r="Y18" s="7">
        <v>2.4</v>
      </c>
      <c r="Z18" s="7"/>
      <c r="AA18" s="12"/>
      <c r="AB18" s="12"/>
      <c r="AC18" s="7"/>
      <c r="AD18" s="7"/>
      <c r="AE18" s="7"/>
      <c r="AF18" s="7"/>
    </row>
    <row r="19" spans="1:32" x14ac:dyDescent="0.3">
      <c r="A19" s="3" t="s">
        <v>1</v>
      </c>
      <c r="B19" s="8"/>
      <c r="C19" s="8"/>
      <c r="D19" s="8"/>
      <c r="E19" s="8"/>
      <c r="F19" s="12"/>
      <c r="G19" s="12"/>
      <c r="H19" s="8"/>
      <c r="I19" s="8"/>
      <c r="J19" s="8"/>
      <c r="K19" s="8"/>
      <c r="L19" s="8"/>
      <c r="M19" s="12"/>
      <c r="N19" s="12"/>
      <c r="O19" s="8"/>
      <c r="P19" s="8"/>
      <c r="Q19" s="8"/>
      <c r="R19" s="8"/>
      <c r="S19" s="8"/>
      <c r="T19" s="12"/>
      <c r="U19" s="12"/>
      <c r="V19" s="8"/>
      <c r="W19" s="8"/>
      <c r="X19" s="8"/>
      <c r="Y19" s="19" t="s">
        <v>505</v>
      </c>
      <c r="Z19" s="8"/>
      <c r="AA19" s="12"/>
      <c r="AB19" s="12"/>
      <c r="AC19" s="8"/>
      <c r="AD19" s="8"/>
      <c r="AE19" s="8"/>
      <c r="AF19" s="8"/>
    </row>
    <row r="20" spans="1:32" x14ac:dyDescent="0.3">
      <c r="A20" s="4" t="s">
        <v>13</v>
      </c>
      <c r="B20" s="7"/>
      <c r="C20" s="7"/>
      <c r="D20" s="7"/>
      <c r="E20" s="7"/>
      <c r="F20" s="12"/>
      <c r="G20" s="12"/>
      <c r="H20" s="7"/>
      <c r="I20" s="7"/>
      <c r="J20" s="7"/>
      <c r="K20" s="7"/>
      <c r="L20" s="7"/>
      <c r="M20" s="12"/>
      <c r="N20" s="12"/>
      <c r="O20" s="7"/>
      <c r="P20" s="7"/>
      <c r="Q20" s="7"/>
      <c r="R20" s="7"/>
      <c r="S20" s="7"/>
      <c r="T20" s="12"/>
      <c r="U20" s="12"/>
      <c r="V20" s="7"/>
      <c r="W20" s="7"/>
      <c r="X20" s="7"/>
      <c r="Y20" s="20">
        <v>1.4</v>
      </c>
      <c r="Z20" s="7"/>
      <c r="AA20" s="12"/>
      <c r="AB20" s="12"/>
      <c r="AC20" s="7"/>
      <c r="AD20" s="7"/>
      <c r="AE20" s="7"/>
      <c r="AF20" s="7"/>
    </row>
    <row r="21" spans="1:32" x14ac:dyDescent="0.3">
      <c r="A21" s="3" t="s">
        <v>1</v>
      </c>
      <c r="B21" s="8"/>
      <c r="C21" s="8"/>
      <c r="D21" s="8"/>
      <c r="E21" s="8"/>
      <c r="F21" s="12"/>
      <c r="G21" s="12"/>
      <c r="H21" s="8"/>
      <c r="I21" s="8"/>
      <c r="J21" s="8"/>
      <c r="K21" s="8"/>
      <c r="L21" s="8"/>
      <c r="M21" s="12"/>
      <c r="N21" s="12"/>
      <c r="O21" s="8"/>
      <c r="P21" s="8"/>
      <c r="Q21" s="8"/>
      <c r="R21" s="8"/>
      <c r="S21" s="8"/>
      <c r="T21" s="12"/>
      <c r="U21" s="12"/>
      <c r="V21" s="8"/>
      <c r="W21" s="8"/>
      <c r="X21" s="8"/>
      <c r="Y21" s="8"/>
      <c r="Z21" s="8"/>
      <c r="AA21" s="12"/>
      <c r="AB21" s="12"/>
      <c r="AC21" s="8"/>
      <c r="AD21" s="8"/>
      <c r="AE21" s="8"/>
      <c r="AF21" s="8"/>
    </row>
    <row r="22" spans="1:32" x14ac:dyDescent="0.3">
      <c r="A22" s="4" t="s">
        <v>13</v>
      </c>
      <c r="B22" s="7"/>
      <c r="C22" s="7"/>
      <c r="D22" s="7"/>
      <c r="E22" s="7"/>
      <c r="F22" s="12"/>
      <c r="G22" s="12"/>
      <c r="H22" s="7"/>
      <c r="I22" s="7"/>
      <c r="J22" s="7"/>
      <c r="K22" s="7"/>
      <c r="L22" s="7"/>
      <c r="M22" s="12"/>
      <c r="N22" s="12"/>
      <c r="O22" s="7"/>
      <c r="P22" s="7"/>
      <c r="Q22" s="7"/>
      <c r="R22" s="7"/>
      <c r="S22" s="7"/>
      <c r="T22" s="12"/>
      <c r="U22" s="12"/>
      <c r="V22" s="7"/>
      <c r="W22" s="7"/>
      <c r="X22" s="7"/>
      <c r="Y22" s="7"/>
      <c r="Z22" s="7"/>
      <c r="AA22" s="12"/>
      <c r="AB22" s="12"/>
      <c r="AC22" s="7"/>
      <c r="AD22" s="7"/>
      <c r="AE22" s="7"/>
      <c r="AF22" s="7"/>
    </row>
    <row r="23" spans="1:32" x14ac:dyDescent="0.3">
      <c r="A23" s="3" t="s">
        <v>1</v>
      </c>
      <c r="B23" s="8"/>
      <c r="C23" s="8"/>
      <c r="D23" s="8"/>
      <c r="E23" s="8"/>
      <c r="F23" s="12"/>
      <c r="G23" s="12"/>
      <c r="H23" s="8"/>
      <c r="I23" s="8"/>
      <c r="J23" s="8"/>
      <c r="K23" s="8"/>
      <c r="L23" s="8"/>
      <c r="M23" s="12"/>
      <c r="N23" s="12"/>
      <c r="O23" s="8"/>
      <c r="P23" s="8"/>
      <c r="Q23" s="8"/>
      <c r="R23" s="8"/>
      <c r="S23" s="8"/>
      <c r="T23" s="12"/>
      <c r="U23" s="12"/>
      <c r="V23" s="8"/>
      <c r="W23" s="8"/>
      <c r="X23" s="8"/>
      <c r="Y23" s="8"/>
      <c r="Z23" s="8"/>
      <c r="AA23" s="12"/>
      <c r="AB23" s="12"/>
      <c r="AC23" s="8"/>
      <c r="AD23" s="8"/>
      <c r="AE23" s="8"/>
      <c r="AF23" s="8"/>
    </row>
    <row r="24" spans="1:32" x14ac:dyDescent="0.3">
      <c r="A24" s="4" t="s">
        <v>13</v>
      </c>
      <c r="B24" s="7"/>
      <c r="C24" s="7"/>
      <c r="D24" s="7"/>
      <c r="E24" s="7"/>
      <c r="F24" s="12"/>
      <c r="G24" s="12"/>
      <c r="H24" s="7"/>
      <c r="I24" s="7"/>
      <c r="J24" s="7"/>
      <c r="K24" s="7"/>
      <c r="L24" s="7"/>
      <c r="M24" s="12"/>
      <c r="N24" s="12"/>
      <c r="O24" s="7"/>
      <c r="P24" s="7"/>
      <c r="Q24" s="7"/>
      <c r="R24" s="7"/>
      <c r="S24" s="7"/>
      <c r="T24" s="12"/>
      <c r="U24" s="12"/>
      <c r="V24" s="7"/>
      <c r="W24" s="7"/>
      <c r="X24" s="7"/>
      <c r="Y24" s="7"/>
      <c r="Z24" s="7"/>
      <c r="AA24" s="12"/>
      <c r="AB24" s="12"/>
      <c r="AC24" s="7"/>
      <c r="AD24" s="7"/>
      <c r="AE24" s="7"/>
      <c r="AF24" s="7"/>
    </row>
    <row r="25" spans="1:32" x14ac:dyDescent="0.3">
      <c r="A25" s="3" t="s">
        <v>1</v>
      </c>
      <c r="B25" s="8"/>
      <c r="C25" s="8"/>
      <c r="D25" s="8"/>
      <c r="E25" s="8"/>
      <c r="F25" s="12"/>
      <c r="G25" s="12"/>
      <c r="H25" s="8"/>
      <c r="I25" s="8"/>
      <c r="J25" s="8"/>
      <c r="K25" s="8"/>
      <c r="L25" s="8"/>
      <c r="M25" s="12"/>
      <c r="N25" s="12"/>
      <c r="O25" s="8"/>
      <c r="P25" s="8"/>
      <c r="Q25" s="8"/>
      <c r="R25" s="8"/>
      <c r="S25" s="8"/>
      <c r="T25" s="12"/>
      <c r="U25" s="12"/>
      <c r="V25" s="8"/>
      <c r="W25" s="8"/>
      <c r="X25" s="8"/>
      <c r="Y25" s="8"/>
      <c r="Z25" s="8"/>
      <c r="AA25" s="12"/>
      <c r="AB25" s="12"/>
      <c r="AC25" s="8"/>
      <c r="AD25" s="8"/>
      <c r="AE25" s="8"/>
      <c r="AF25" s="8"/>
    </row>
    <row r="26" spans="1:32" x14ac:dyDescent="0.3">
      <c r="A26" s="4" t="s">
        <v>13</v>
      </c>
      <c r="B26" s="7"/>
      <c r="C26" s="7"/>
      <c r="D26" s="7"/>
      <c r="E26" s="7"/>
      <c r="F26" s="12"/>
      <c r="G26" s="12"/>
      <c r="H26" s="7"/>
      <c r="I26" s="7"/>
      <c r="J26" s="7"/>
      <c r="K26" s="7"/>
      <c r="L26" s="7"/>
      <c r="M26" s="12"/>
      <c r="N26" s="12"/>
      <c r="O26" s="7"/>
      <c r="P26" s="7"/>
      <c r="Q26" s="7"/>
      <c r="R26" s="7"/>
      <c r="S26" s="7"/>
      <c r="T26" s="12"/>
      <c r="U26" s="12"/>
      <c r="V26" s="7"/>
      <c r="W26" s="7"/>
      <c r="X26" s="7"/>
      <c r="Y26" s="7"/>
      <c r="Z26" s="7"/>
      <c r="AA26" s="12"/>
      <c r="AB26" s="12"/>
      <c r="AC26" s="7"/>
      <c r="AD26" s="7"/>
      <c r="AE26" s="7"/>
      <c r="AF26" s="7"/>
    </row>
    <row r="27" spans="1:32" x14ac:dyDescent="0.3">
      <c r="A27" s="3" t="s">
        <v>1</v>
      </c>
      <c r="B27" s="8"/>
      <c r="C27" s="8"/>
      <c r="D27" s="8"/>
      <c r="E27" s="8"/>
      <c r="F27" s="12"/>
      <c r="G27" s="12"/>
      <c r="H27" s="8"/>
      <c r="I27" s="8"/>
      <c r="J27" s="8"/>
      <c r="K27" s="8"/>
      <c r="L27" s="8"/>
      <c r="M27" s="12"/>
      <c r="N27" s="12"/>
      <c r="O27" s="8"/>
      <c r="P27" s="8"/>
      <c r="Q27" s="8"/>
      <c r="R27" s="8"/>
      <c r="S27" s="8"/>
      <c r="T27" s="12"/>
      <c r="U27" s="12"/>
      <c r="V27" s="8"/>
      <c r="W27" s="8"/>
      <c r="X27" s="8"/>
      <c r="Y27" s="8"/>
      <c r="Z27" s="8"/>
      <c r="AA27" s="12"/>
      <c r="AB27" s="12"/>
      <c r="AC27" s="8"/>
      <c r="AD27" s="8"/>
      <c r="AE27" s="8"/>
      <c r="AF27" s="8"/>
    </row>
    <row r="28" spans="1:32" x14ac:dyDescent="0.3">
      <c r="A28" s="4" t="s">
        <v>13</v>
      </c>
      <c r="B28" s="7"/>
      <c r="C28" s="7"/>
      <c r="D28" s="7"/>
      <c r="E28" s="7"/>
      <c r="F28" s="12"/>
      <c r="G28" s="12"/>
      <c r="H28" s="7"/>
      <c r="I28" s="7"/>
      <c r="J28" s="7"/>
      <c r="K28" s="7"/>
      <c r="L28" s="7"/>
      <c r="M28" s="12"/>
      <c r="N28" s="12"/>
      <c r="O28" s="7"/>
      <c r="P28" s="7"/>
      <c r="Q28" s="7"/>
      <c r="R28" s="7"/>
      <c r="S28" s="7"/>
      <c r="T28" s="12"/>
      <c r="U28" s="12"/>
      <c r="V28" s="7"/>
      <c r="W28" s="7"/>
      <c r="X28" s="7"/>
      <c r="Y28" s="7"/>
      <c r="Z28" s="7"/>
      <c r="AA28" s="12"/>
      <c r="AB28" s="12"/>
      <c r="AC28" s="7"/>
      <c r="AD28" s="7"/>
      <c r="AE28" s="7"/>
      <c r="AF28" s="7"/>
    </row>
    <row r="29" spans="1:32" x14ac:dyDescent="0.3">
      <c r="A29" s="3" t="s">
        <v>1</v>
      </c>
      <c r="B29" s="8"/>
      <c r="C29" s="8"/>
      <c r="D29" s="8"/>
      <c r="E29" s="8"/>
      <c r="F29" s="12"/>
      <c r="G29" s="12"/>
      <c r="H29" s="8"/>
      <c r="I29" s="8"/>
      <c r="J29" s="8"/>
      <c r="K29" s="8"/>
      <c r="L29" s="8"/>
      <c r="M29" s="12"/>
      <c r="N29" s="12"/>
      <c r="O29" s="8"/>
      <c r="P29" s="8"/>
      <c r="Q29" s="8"/>
      <c r="R29" s="8"/>
      <c r="S29" s="8"/>
      <c r="T29" s="12"/>
      <c r="U29" s="12"/>
      <c r="V29" s="8"/>
      <c r="W29" s="8"/>
      <c r="X29" s="8"/>
      <c r="Y29" s="8"/>
      <c r="Z29" s="8"/>
      <c r="AA29" s="12"/>
      <c r="AB29" s="12"/>
      <c r="AC29" s="8"/>
      <c r="AD29" s="8"/>
      <c r="AE29" s="8"/>
      <c r="AF29" s="8"/>
    </row>
    <row r="30" spans="1:32" x14ac:dyDescent="0.3">
      <c r="A30" s="4" t="s">
        <v>13</v>
      </c>
      <c r="B30" s="7"/>
      <c r="C30" s="7"/>
      <c r="D30" s="7"/>
      <c r="E30" s="7"/>
      <c r="F30" s="12"/>
      <c r="G30" s="12"/>
      <c r="H30" s="7"/>
      <c r="I30" s="7"/>
      <c r="J30" s="7"/>
      <c r="K30" s="7"/>
      <c r="L30" s="7"/>
      <c r="M30" s="12"/>
      <c r="N30" s="12"/>
      <c r="O30" s="7"/>
      <c r="P30" s="7"/>
      <c r="Q30" s="7"/>
      <c r="R30" s="7"/>
      <c r="S30" s="7"/>
      <c r="T30" s="12"/>
      <c r="U30" s="12"/>
      <c r="V30" s="7"/>
      <c r="W30" s="7"/>
      <c r="X30" s="7"/>
      <c r="Y30" s="7"/>
      <c r="Z30" s="7"/>
      <c r="AA30" s="12"/>
      <c r="AB30" s="12"/>
      <c r="AC30" s="7"/>
      <c r="AD30" s="7"/>
      <c r="AE30" s="7"/>
      <c r="AF30" s="7"/>
    </row>
    <row r="31" spans="1:32" x14ac:dyDescent="0.3">
      <c r="A31" s="3" t="s">
        <v>1</v>
      </c>
      <c r="B31" s="8"/>
      <c r="C31" s="8"/>
      <c r="D31" s="8"/>
      <c r="E31" s="8"/>
      <c r="F31" s="12"/>
      <c r="G31" s="12"/>
      <c r="H31" s="8"/>
      <c r="I31" s="8"/>
      <c r="J31" s="8"/>
      <c r="K31" s="8"/>
      <c r="L31" s="8"/>
      <c r="M31" s="12"/>
      <c r="N31" s="12"/>
      <c r="O31" s="8"/>
      <c r="P31" s="8"/>
      <c r="Q31" s="8"/>
      <c r="R31" s="8"/>
      <c r="S31" s="8"/>
      <c r="T31" s="12"/>
      <c r="U31" s="12"/>
      <c r="V31" s="8"/>
      <c r="W31" s="8"/>
      <c r="X31" s="8"/>
      <c r="Y31" s="8"/>
      <c r="Z31" s="8"/>
      <c r="AA31" s="12"/>
      <c r="AB31" s="12"/>
      <c r="AC31" s="8"/>
      <c r="AD31" s="8"/>
      <c r="AE31" s="8"/>
      <c r="AF31" s="8"/>
    </row>
    <row r="32" spans="1:32" x14ac:dyDescent="0.3">
      <c r="A32" s="4" t="s">
        <v>13</v>
      </c>
      <c r="B32" s="7"/>
      <c r="C32" s="7"/>
      <c r="D32" s="7"/>
      <c r="E32" s="7"/>
      <c r="F32" s="12"/>
      <c r="G32" s="12"/>
      <c r="H32" s="7"/>
      <c r="I32" s="7"/>
      <c r="J32" s="7"/>
      <c r="K32" s="7"/>
      <c r="L32" s="7"/>
      <c r="M32" s="12"/>
      <c r="N32" s="12"/>
      <c r="O32" s="7"/>
      <c r="P32" s="7"/>
      <c r="Q32" s="7"/>
      <c r="R32" s="7"/>
      <c r="S32" s="7"/>
      <c r="T32" s="12"/>
      <c r="U32" s="12"/>
      <c r="V32" s="7"/>
      <c r="W32" s="7"/>
      <c r="X32" s="7"/>
      <c r="Y32" s="7"/>
      <c r="Z32" s="7"/>
      <c r="AA32" s="12"/>
      <c r="AB32" s="12"/>
      <c r="AC32" s="7"/>
      <c r="AD32" s="7"/>
      <c r="AE32" s="7"/>
      <c r="AF32" s="7"/>
    </row>
    <row r="33" spans="1:32" x14ac:dyDescent="0.3">
      <c r="A33" s="9" t="s">
        <v>59</v>
      </c>
      <c r="B33" s="93">
        <f>37.2-B4-B6-B8-B10-B12-B14-B16-B18-B20-B22-B24-B26-B28-B30-B32</f>
        <v>6.7000000000000046</v>
      </c>
      <c r="C33" s="93">
        <f t="shared" ref="C33:L33" si="1">37.2-C4-C6-C8-C10-C12-C14-C16-C18-C20-C22-C24-C26-C28-C30-C32</f>
        <v>37.200000000000003</v>
      </c>
      <c r="D33" s="93">
        <f t="shared" si="1"/>
        <v>1</v>
      </c>
      <c r="E33" s="94">
        <f t="shared" si="1"/>
        <v>5.3290705182007514E-15</v>
      </c>
      <c r="F33" s="94">
        <f t="shared" si="1"/>
        <v>37.200000000000003</v>
      </c>
      <c r="G33" s="94">
        <f t="shared" si="1"/>
        <v>37.200000000000003</v>
      </c>
      <c r="H33" s="93">
        <f t="shared" si="1"/>
        <v>0.70000000000000284</v>
      </c>
      <c r="I33" s="93">
        <f t="shared" si="1"/>
        <v>2.4000000000000057</v>
      </c>
      <c r="J33" s="93">
        <f t="shared" si="1"/>
        <v>3.4000000000000039</v>
      </c>
      <c r="K33" s="94">
        <f t="shared" si="1"/>
        <v>0</v>
      </c>
      <c r="L33" s="94">
        <f t="shared" si="1"/>
        <v>2.6645352591003757E-15</v>
      </c>
      <c r="M33" s="94">
        <f t="shared" ref="M33:AF33" si="2">32.4-M4-M6-M8-M10-M12-M14-M16-M18-M20-M22-M24-M26-M28-M30-M32</f>
        <v>32.4</v>
      </c>
      <c r="N33" s="94">
        <f t="shared" si="2"/>
        <v>32.4</v>
      </c>
      <c r="O33" s="94">
        <f t="shared" si="2"/>
        <v>4.9999999999998934E-2</v>
      </c>
      <c r="P33" s="93">
        <f t="shared" si="2"/>
        <v>29.63</v>
      </c>
      <c r="Q33" s="94">
        <f t="shared" si="2"/>
        <v>-4.9999999999997602E-2</v>
      </c>
      <c r="R33" s="94">
        <f t="shared" si="2"/>
        <v>-4.0000000000000924E-2</v>
      </c>
      <c r="S33" s="93">
        <f t="shared" si="2"/>
        <v>7.7999999999999989</v>
      </c>
      <c r="T33" s="94">
        <f t="shared" si="2"/>
        <v>32.4</v>
      </c>
      <c r="U33" s="94">
        <f t="shared" si="2"/>
        <v>32.4</v>
      </c>
      <c r="V33" s="94">
        <f t="shared" si="2"/>
        <v>-1.7763568394002505E-15</v>
      </c>
      <c r="W33" s="94">
        <f t="shared" si="2"/>
        <v>-8.8817841970012523E-16</v>
      </c>
      <c r="X33" s="94">
        <f t="shared" si="2"/>
        <v>-3.5527136788005009E-15</v>
      </c>
      <c r="Y33" s="93">
        <f t="shared" si="2"/>
        <v>7.9999999999999964</v>
      </c>
      <c r="Z33" s="93">
        <f t="shared" si="2"/>
        <v>4.7999999999999972</v>
      </c>
      <c r="AA33" s="94">
        <f t="shared" si="2"/>
        <v>32.4</v>
      </c>
      <c r="AB33" s="94">
        <f t="shared" si="2"/>
        <v>32.4</v>
      </c>
      <c r="AC33" s="93">
        <f t="shared" si="2"/>
        <v>2.0999999999999983</v>
      </c>
      <c r="AD33" s="94">
        <f t="shared" si="2"/>
        <v>0</v>
      </c>
      <c r="AE33" s="93">
        <f t="shared" si="2"/>
        <v>6.2999999999999972</v>
      </c>
      <c r="AF33" s="94">
        <f t="shared" si="2"/>
        <v>0</v>
      </c>
    </row>
  </sheetData>
  <conditionalFormatting sqref="B2:AF2">
    <cfRule type="cellIs" dxfId="11" priority="1" operator="equal">
      <formula>40</formula>
    </cfRule>
    <cfRule type="cellIs" dxfId="10" priority="2" operator="greaterThan">
      <formula>40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895E-0555-47E6-B2EC-6AF936C1E0EB}">
  <dimension ref="A1:AF35"/>
  <sheetViews>
    <sheetView workbookViewId="0">
      <selection activeCell="AD16" sqref="AD16"/>
    </sheetView>
  </sheetViews>
  <sheetFormatPr defaultRowHeight="14.4" x14ac:dyDescent="0.3"/>
  <cols>
    <col min="1" max="1" width="16" bestFit="1" customWidth="1"/>
    <col min="2" max="2" width="9.44140625" bestFit="1" customWidth="1"/>
    <col min="6" max="7" width="9.21875" bestFit="1" customWidth="1"/>
    <col min="9" max="9" width="9.44140625" bestFit="1" customWidth="1"/>
    <col min="12" max="13" width="9.44140625" bestFit="1" customWidth="1"/>
    <col min="14" max="14" width="9.21875" bestFit="1" customWidth="1"/>
    <col min="16" max="16" width="9.21875" bestFit="1" customWidth="1"/>
  </cols>
  <sheetData>
    <row r="1" spans="1:32" x14ac:dyDescent="0.3">
      <c r="A1" s="3"/>
      <c r="B1" s="6">
        <v>45870</v>
      </c>
      <c r="C1" s="11">
        <v>45871</v>
      </c>
      <c r="D1" s="11">
        <v>45872</v>
      </c>
      <c r="E1" s="6">
        <v>45873</v>
      </c>
      <c r="F1" s="6">
        <v>45874</v>
      </c>
      <c r="G1" s="6">
        <v>45875</v>
      </c>
      <c r="H1" s="6">
        <v>45876</v>
      </c>
      <c r="I1" s="6">
        <v>45877</v>
      </c>
      <c r="J1" s="11">
        <v>45878</v>
      </c>
      <c r="K1" s="11">
        <v>45879</v>
      </c>
      <c r="L1" s="6">
        <v>45880</v>
      </c>
      <c r="M1" s="6">
        <v>45881</v>
      </c>
      <c r="N1" s="6">
        <v>45882</v>
      </c>
      <c r="O1" s="6">
        <v>45883</v>
      </c>
      <c r="P1" s="6">
        <v>45884</v>
      </c>
      <c r="Q1" s="11">
        <v>45885</v>
      </c>
      <c r="R1" s="11">
        <v>45886</v>
      </c>
      <c r="S1" s="6">
        <v>45887</v>
      </c>
      <c r="T1" s="6">
        <v>45888</v>
      </c>
      <c r="U1" s="6">
        <v>45889</v>
      </c>
      <c r="V1" s="6">
        <v>45890</v>
      </c>
      <c r="W1" s="6">
        <v>45891</v>
      </c>
      <c r="X1" s="11">
        <v>45892</v>
      </c>
      <c r="Y1" s="11">
        <v>45893</v>
      </c>
      <c r="Z1" s="6">
        <v>45894</v>
      </c>
      <c r="AA1" s="6">
        <v>45895</v>
      </c>
      <c r="AB1" s="6">
        <v>45896</v>
      </c>
      <c r="AC1" s="6">
        <v>45897</v>
      </c>
      <c r="AD1" s="6">
        <v>45898</v>
      </c>
      <c r="AE1" s="11">
        <v>45899</v>
      </c>
      <c r="AF1" s="11">
        <v>45900</v>
      </c>
    </row>
    <row r="2" spans="1:32" x14ac:dyDescent="0.3">
      <c r="A2" s="1" t="s">
        <v>0</v>
      </c>
      <c r="B2" s="2">
        <f>B4+B6+B8+B10+B12+B14+B16+B18+B20+B22+B24+B26+B28+B30+B32</f>
        <v>32.370000000000005</v>
      </c>
      <c r="C2" s="12">
        <f>C4+C6+C8+C10+C12+C14+C16+C18+C20+C22+C24+C26+C28+C30+C32</f>
        <v>0</v>
      </c>
      <c r="D2" s="12">
        <f t="shared" ref="D2:AF2" si="0">D4+D6+D8+D10+D12+D14+D16+D18+D20+D22+D24+D26+D28+D30+D32</f>
        <v>0</v>
      </c>
      <c r="E2" s="2">
        <f t="shared" si="0"/>
        <v>32.4</v>
      </c>
      <c r="F2" s="2">
        <f t="shared" si="0"/>
        <v>31.6</v>
      </c>
      <c r="G2" s="2">
        <f t="shared" si="0"/>
        <v>29.599999999999998</v>
      </c>
      <c r="H2" s="2">
        <f t="shared" si="0"/>
        <v>28.4</v>
      </c>
      <c r="I2" s="2">
        <f t="shared" si="0"/>
        <v>23.1</v>
      </c>
      <c r="J2" s="12">
        <f t="shared" si="0"/>
        <v>0</v>
      </c>
      <c r="K2" s="12">
        <f t="shared" si="0"/>
        <v>0</v>
      </c>
      <c r="L2" s="2">
        <f t="shared" si="0"/>
        <v>35.1</v>
      </c>
      <c r="M2" s="2">
        <f t="shared" si="0"/>
        <v>35.1</v>
      </c>
      <c r="N2" s="2">
        <f t="shared" si="0"/>
        <v>35.099999999999994</v>
      </c>
      <c r="O2" s="2">
        <f t="shared" si="0"/>
        <v>15.6</v>
      </c>
      <c r="P2" s="2">
        <f t="shared" si="0"/>
        <v>9.1999999999999993</v>
      </c>
      <c r="Q2" s="12">
        <f t="shared" si="0"/>
        <v>0</v>
      </c>
      <c r="R2" s="12">
        <f t="shared" si="0"/>
        <v>0</v>
      </c>
      <c r="S2" s="2">
        <f>S4+S6+S8+S10+S12+S14+S16+S18+S20+S22+S24+S26+S28+S30+S32</f>
        <v>37.799999999999997</v>
      </c>
      <c r="T2" s="2">
        <f>T4+T6+T8+T10+T12+T14+T16+T18+T20+T22+T24+T26+T28+T30+T32</f>
        <v>24.7</v>
      </c>
      <c r="U2" s="2">
        <f t="shared" si="0"/>
        <v>35.200000000000003</v>
      </c>
      <c r="V2" s="2">
        <f t="shared" si="0"/>
        <v>13.8</v>
      </c>
      <c r="W2" s="2">
        <f t="shared" si="0"/>
        <v>22</v>
      </c>
      <c r="X2" s="12">
        <f t="shared" si="0"/>
        <v>0</v>
      </c>
      <c r="Y2" s="12">
        <f t="shared" si="0"/>
        <v>0</v>
      </c>
      <c r="Z2" s="2">
        <f t="shared" si="0"/>
        <v>30.2</v>
      </c>
      <c r="AA2" s="2">
        <f>AA4+AA6+AA8+AA10+AA12+AA14+AA16+AA18+AA20+AA22+AA24+AA26+AA28+AA30+AA32</f>
        <v>24.3</v>
      </c>
      <c r="AB2" s="2">
        <f t="shared" si="0"/>
        <v>9.9</v>
      </c>
      <c r="AC2" s="2">
        <f t="shared" si="0"/>
        <v>9.17</v>
      </c>
      <c r="AD2" s="2">
        <f t="shared" si="0"/>
        <v>31.539999999999996</v>
      </c>
      <c r="AE2" s="12">
        <f t="shared" si="0"/>
        <v>0</v>
      </c>
      <c r="AF2" s="12">
        <f t="shared" si="0"/>
        <v>0</v>
      </c>
    </row>
    <row r="3" spans="1:32" x14ac:dyDescent="0.3">
      <c r="A3" s="3" t="s">
        <v>1</v>
      </c>
      <c r="B3" s="8" t="s">
        <v>528</v>
      </c>
      <c r="C3" s="12"/>
      <c r="D3" s="12"/>
      <c r="E3" s="89" t="s">
        <v>2</v>
      </c>
      <c r="F3" s="89" t="s">
        <v>2</v>
      </c>
      <c r="G3" s="17" t="s">
        <v>529</v>
      </c>
      <c r="H3" s="8" t="s">
        <v>530</v>
      </c>
      <c r="I3" s="8"/>
      <c r="J3" s="12"/>
      <c r="K3" s="12"/>
      <c r="L3" s="89" t="s">
        <v>2</v>
      </c>
      <c r="M3" s="19" t="s">
        <v>531</v>
      </c>
      <c r="N3" s="8" t="s">
        <v>532</v>
      </c>
      <c r="O3" s="8" t="s">
        <v>533</v>
      </c>
      <c r="P3" s="8"/>
      <c r="Q3" s="12"/>
      <c r="R3" s="12"/>
      <c r="S3" s="89" t="s">
        <v>2</v>
      </c>
      <c r="T3" s="19" t="s">
        <v>534</v>
      </c>
      <c r="U3" s="8" t="s">
        <v>269</v>
      </c>
      <c r="V3" s="8" t="s">
        <v>535</v>
      </c>
      <c r="W3" s="8" t="s">
        <v>536</v>
      </c>
      <c r="X3" s="12"/>
      <c r="Y3" s="12"/>
      <c r="Z3" s="89" t="s">
        <v>2</v>
      </c>
      <c r="AA3" s="8" t="s">
        <v>537</v>
      </c>
      <c r="AB3" s="8" t="s">
        <v>538</v>
      </c>
      <c r="AC3" s="8" t="s">
        <v>539</v>
      </c>
      <c r="AD3" s="8" t="s">
        <v>540</v>
      </c>
      <c r="AE3" s="12"/>
      <c r="AF3" s="12"/>
    </row>
    <row r="4" spans="1:32" x14ac:dyDescent="0.3">
      <c r="A4" s="4" t="s">
        <v>13</v>
      </c>
      <c r="B4" s="7">
        <v>2.77</v>
      </c>
      <c r="C4" s="12"/>
      <c r="D4" s="12"/>
      <c r="E4" s="90">
        <v>0</v>
      </c>
      <c r="F4" s="90">
        <v>6</v>
      </c>
      <c r="G4" s="20">
        <v>2</v>
      </c>
      <c r="H4" s="7">
        <v>2.4</v>
      </c>
      <c r="I4" s="7"/>
      <c r="J4" s="12"/>
      <c r="K4" s="12"/>
      <c r="L4" s="90">
        <v>20</v>
      </c>
      <c r="M4" s="19">
        <v>0.5</v>
      </c>
      <c r="N4" s="7">
        <v>2.6</v>
      </c>
      <c r="O4" s="7">
        <v>15.6</v>
      </c>
      <c r="P4" s="7"/>
      <c r="Q4" s="12"/>
      <c r="R4" s="12"/>
      <c r="S4" s="90">
        <v>20</v>
      </c>
      <c r="T4" s="20">
        <v>5.5</v>
      </c>
      <c r="U4" s="7">
        <v>14.8</v>
      </c>
      <c r="V4" s="7">
        <v>13.8</v>
      </c>
      <c r="W4" s="7">
        <v>8.1999999999999993</v>
      </c>
      <c r="X4" s="12"/>
      <c r="Y4" s="12"/>
      <c r="Z4" s="90">
        <v>20</v>
      </c>
      <c r="AA4" s="7">
        <v>18</v>
      </c>
      <c r="AB4" s="7">
        <v>6.2</v>
      </c>
      <c r="AC4" s="7">
        <v>3.17</v>
      </c>
      <c r="AD4" s="7">
        <v>5.2</v>
      </c>
      <c r="AE4" s="12"/>
      <c r="AF4" s="12"/>
    </row>
    <row r="5" spans="1:32" x14ac:dyDescent="0.3">
      <c r="A5" s="3" t="s">
        <v>1</v>
      </c>
      <c r="B5" s="8" t="s">
        <v>541</v>
      </c>
      <c r="C5" s="12"/>
      <c r="D5" s="12"/>
      <c r="E5" s="91" t="s">
        <v>14</v>
      </c>
      <c r="F5" s="8" t="s">
        <v>542</v>
      </c>
      <c r="G5" s="8" t="s">
        <v>543</v>
      </c>
      <c r="H5" s="8"/>
      <c r="I5" s="17" t="s">
        <v>460</v>
      </c>
      <c r="J5" s="12"/>
      <c r="K5" s="12"/>
      <c r="L5" s="91" t="s">
        <v>14</v>
      </c>
      <c r="M5" s="8"/>
      <c r="N5" t="s">
        <v>544</v>
      </c>
      <c r="O5" s="8"/>
      <c r="P5" s="8" t="s">
        <v>545</v>
      </c>
      <c r="Q5" s="12"/>
      <c r="R5" s="12"/>
      <c r="S5" s="91" t="s">
        <v>14</v>
      </c>
      <c r="T5" s="8" t="s">
        <v>546</v>
      </c>
      <c r="U5" s="8" t="s">
        <v>547</v>
      </c>
      <c r="V5" s="8"/>
      <c r="W5" s="8" t="s">
        <v>548</v>
      </c>
      <c r="X5" s="12"/>
      <c r="Y5" s="12"/>
      <c r="Z5" s="91" t="s">
        <v>14</v>
      </c>
      <c r="AA5" s="8" t="s">
        <v>549</v>
      </c>
      <c r="AB5" s="8" t="s">
        <v>550</v>
      </c>
      <c r="AC5" s="8" t="s">
        <v>551</v>
      </c>
      <c r="AD5" s="8" t="s">
        <v>552</v>
      </c>
      <c r="AE5" s="12"/>
      <c r="AF5" s="12"/>
    </row>
    <row r="6" spans="1:32" x14ac:dyDescent="0.3">
      <c r="A6" s="4" t="s">
        <v>13</v>
      </c>
      <c r="B6" s="7">
        <v>2.6</v>
      </c>
      <c r="C6" s="12"/>
      <c r="D6" s="12"/>
      <c r="E6" s="92">
        <v>5</v>
      </c>
      <c r="F6" s="7">
        <v>8</v>
      </c>
      <c r="G6" s="7">
        <v>2.6</v>
      </c>
      <c r="H6" s="7"/>
      <c r="I6" s="20">
        <v>20</v>
      </c>
      <c r="J6" s="12"/>
      <c r="K6" s="12"/>
      <c r="L6" s="92">
        <v>5</v>
      </c>
      <c r="M6" s="7"/>
      <c r="N6" s="65">
        <v>0.5</v>
      </c>
      <c r="O6" s="65"/>
      <c r="P6" s="7">
        <v>3.3</v>
      </c>
      <c r="Q6" s="12"/>
      <c r="R6" s="12"/>
      <c r="S6" s="92">
        <v>5</v>
      </c>
      <c r="T6" s="7">
        <v>5.6</v>
      </c>
      <c r="U6" s="7">
        <v>14.8</v>
      </c>
      <c r="V6" s="7"/>
      <c r="W6" s="7">
        <v>13.8</v>
      </c>
      <c r="X6" s="12"/>
      <c r="Y6" s="12"/>
      <c r="Z6" s="92">
        <v>5</v>
      </c>
      <c r="AA6" s="7">
        <v>6.3</v>
      </c>
      <c r="AB6" s="7">
        <v>3.7</v>
      </c>
      <c r="AC6" s="7">
        <v>3.6</v>
      </c>
      <c r="AD6" s="7">
        <v>5.5</v>
      </c>
      <c r="AE6" s="12"/>
      <c r="AF6" s="12"/>
    </row>
    <row r="7" spans="1:32" x14ac:dyDescent="0.3">
      <c r="A7" s="3" t="s">
        <v>1</v>
      </c>
      <c r="B7" s="19" t="s">
        <v>553</v>
      </c>
      <c r="C7" s="12"/>
      <c r="D7" s="12"/>
      <c r="E7" s="19" t="s">
        <v>554</v>
      </c>
      <c r="F7" s="8" t="s">
        <v>555</v>
      </c>
      <c r="G7" s="8" t="s">
        <v>556</v>
      </c>
      <c r="H7" s="8" t="s">
        <v>557</v>
      </c>
      <c r="I7" s="8" t="s">
        <v>558</v>
      </c>
      <c r="J7" s="12"/>
      <c r="K7" s="12"/>
      <c r="L7" s="8" t="s">
        <v>559</v>
      </c>
      <c r="M7" s="8" t="s">
        <v>560</v>
      </c>
      <c r="N7" s="8" t="s">
        <v>561</v>
      </c>
      <c r="O7" s="8"/>
      <c r="P7" s="8"/>
      <c r="Q7" s="12"/>
      <c r="R7" s="12"/>
      <c r="S7" s="8" t="s">
        <v>562</v>
      </c>
      <c r="T7" s="19" t="s">
        <v>563</v>
      </c>
      <c r="U7" s="8" t="s">
        <v>564</v>
      </c>
      <c r="V7" s="8"/>
      <c r="W7" s="8"/>
      <c r="X7" s="12"/>
      <c r="Y7" s="12"/>
      <c r="Z7" s="8" t="s">
        <v>565</v>
      </c>
      <c r="AA7" s="8"/>
      <c r="AB7" s="8"/>
      <c r="AC7" s="8"/>
      <c r="AD7" s="8" t="s">
        <v>566</v>
      </c>
      <c r="AE7" s="12"/>
      <c r="AF7" s="12"/>
    </row>
    <row r="8" spans="1:32" x14ac:dyDescent="0.3">
      <c r="A8" s="4" t="s">
        <v>13</v>
      </c>
      <c r="B8" s="20">
        <v>25.6</v>
      </c>
      <c r="C8" s="12"/>
      <c r="D8" s="12"/>
      <c r="E8" s="19">
        <v>2.9</v>
      </c>
      <c r="F8" s="7">
        <v>13.8</v>
      </c>
      <c r="G8" s="65">
        <v>5.6</v>
      </c>
      <c r="H8" s="7">
        <v>4.5999999999999996</v>
      </c>
      <c r="I8" s="7">
        <v>3.1</v>
      </c>
      <c r="J8" s="12"/>
      <c r="K8" s="12"/>
      <c r="L8" s="65">
        <v>8</v>
      </c>
      <c r="M8" s="7">
        <v>23.8</v>
      </c>
      <c r="N8" s="7">
        <v>2.6</v>
      </c>
      <c r="O8" s="7"/>
      <c r="P8" s="65"/>
      <c r="Q8" s="12"/>
      <c r="R8" s="12"/>
      <c r="S8" s="7">
        <v>3.1</v>
      </c>
      <c r="T8" s="20">
        <v>1.4</v>
      </c>
      <c r="U8" s="7">
        <v>5.6</v>
      </c>
      <c r="V8" s="7"/>
      <c r="W8" s="7"/>
      <c r="X8" s="12"/>
      <c r="Y8" s="12"/>
      <c r="Z8" s="7">
        <v>5.2</v>
      </c>
      <c r="AA8" s="7"/>
      <c r="AB8" s="7"/>
      <c r="AC8" s="7"/>
      <c r="AD8" s="7">
        <v>2.6</v>
      </c>
      <c r="AE8" s="12"/>
      <c r="AF8" s="12"/>
    </row>
    <row r="9" spans="1:32" x14ac:dyDescent="0.3">
      <c r="A9" s="3" t="s">
        <v>1</v>
      </c>
      <c r="B9" s="8" t="s">
        <v>554</v>
      </c>
      <c r="C9" s="12"/>
      <c r="D9" s="12"/>
      <c r="E9" s="8" t="s">
        <v>567</v>
      </c>
      <c r="F9" s="19" t="s">
        <v>568</v>
      </c>
      <c r="G9" s="8" t="s">
        <v>569</v>
      </c>
      <c r="H9" s="8" t="s">
        <v>570</v>
      </c>
      <c r="I9" s="8"/>
      <c r="J9" s="12"/>
      <c r="K9" s="12"/>
      <c r="L9" s="8" t="s">
        <v>571</v>
      </c>
      <c r="M9" s="19" t="s">
        <v>572</v>
      </c>
      <c r="N9" s="8" t="s">
        <v>570</v>
      </c>
      <c r="O9" s="8"/>
      <c r="P9" s="19" t="s">
        <v>573</v>
      </c>
      <c r="Q9" s="12"/>
      <c r="R9" s="12"/>
      <c r="S9" s="8" t="s">
        <v>574</v>
      </c>
      <c r="T9" s="19" t="s">
        <v>575</v>
      </c>
      <c r="U9" s="8"/>
      <c r="V9" s="8"/>
      <c r="W9" s="8"/>
      <c r="X9" s="12"/>
      <c r="Y9" s="12"/>
      <c r="Z9" s="8"/>
      <c r="AA9" s="8"/>
      <c r="AB9" s="8"/>
      <c r="AC9" s="8" t="s">
        <v>576</v>
      </c>
      <c r="AD9" s="8" t="s">
        <v>577</v>
      </c>
      <c r="AE9" s="12"/>
      <c r="AF9" s="12"/>
    </row>
    <row r="10" spans="1:32" x14ac:dyDescent="0.3">
      <c r="A10" s="4" t="s">
        <v>13</v>
      </c>
      <c r="B10" s="7">
        <v>1.4</v>
      </c>
      <c r="C10" s="12"/>
      <c r="D10" s="12"/>
      <c r="E10" s="7">
        <v>19.5</v>
      </c>
      <c r="F10" s="20">
        <v>1.6</v>
      </c>
      <c r="G10" s="7">
        <v>5.6</v>
      </c>
      <c r="H10" s="7">
        <v>21.4</v>
      </c>
      <c r="I10" s="7"/>
      <c r="J10" s="12"/>
      <c r="K10" s="12"/>
      <c r="L10" s="7">
        <v>2.1</v>
      </c>
      <c r="M10" s="20">
        <v>2.5</v>
      </c>
      <c r="N10" s="65">
        <v>17.399999999999999</v>
      </c>
      <c r="O10" s="7"/>
      <c r="P10" s="20">
        <v>2</v>
      </c>
      <c r="Q10" s="12"/>
      <c r="R10" s="12"/>
      <c r="S10" s="7">
        <v>5.6</v>
      </c>
      <c r="T10" s="20">
        <v>0.3</v>
      </c>
      <c r="U10" s="7"/>
      <c r="V10" s="7"/>
      <c r="W10" s="7"/>
      <c r="X10" s="12"/>
      <c r="Y10" s="12"/>
      <c r="Z10" s="7"/>
      <c r="AA10" s="7"/>
      <c r="AB10" s="7"/>
      <c r="AC10" s="7">
        <v>2.4</v>
      </c>
      <c r="AD10" s="7">
        <v>3.3</v>
      </c>
      <c r="AE10" s="12"/>
      <c r="AF10" s="12"/>
    </row>
    <row r="11" spans="1:32" x14ac:dyDescent="0.3">
      <c r="A11" s="3" t="s">
        <v>1</v>
      </c>
      <c r="B11" s="8"/>
      <c r="C11" s="12"/>
      <c r="D11" s="12"/>
      <c r="E11" s="8" t="s">
        <v>578</v>
      </c>
      <c r="F11" s="19" t="s">
        <v>579</v>
      </c>
      <c r="G11" s="8" t="s">
        <v>580</v>
      </c>
      <c r="H11" s="8"/>
      <c r="I11" s="8"/>
      <c r="J11" s="12"/>
      <c r="K11" s="12"/>
      <c r="L11" s="8"/>
      <c r="M11" s="8" t="s">
        <v>542</v>
      </c>
      <c r="N11" s="19" t="s">
        <v>581</v>
      </c>
      <c r="O11" s="8"/>
      <c r="P11" s="8" t="s">
        <v>582</v>
      </c>
      <c r="Q11" s="12"/>
      <c r="R11" s="12"/>
      <c r="S11" s="19" t="s">
        <v>583</v>
      </c>
      <c r="T11" t="s">
        <v>584</v>
      </c>
      <c r="U11" s="8"/>
      <c r="V11" s="8"/>
      <c r="W11" s="8"/>
      <c r="X11" s="12"/>
      <c r="Y11" s="12"/>
      <c r="Z11" s="8"/>
      <c r="AA11" s="8"/>
      <c r="AB11" s="8"/>
      <c r="AC11" s="8"/>
      <c r="AD11" s="8" t="s">
        <v>585</v>
      </c>
      <c r="AE11" s="12"/>
      <c r="AF11" s="12"/>
    </row>
    <row r="12" spans="1:32" x14ac:dyDescent="0.3">
      <c r="A12" s="4" t="s">
        <v>13</v>
      </c>
      <c r="B12" s="7"/>
      <c r="C12" s="12"/>
      <c r="D12" s="12"/>
      <c r="E12" s="7">
        <v>2.1</v>
      </c>
      <c r="F12" s="20">
        <v>2.2000000000000002</v>
      </c>
      <c r="G12" s="7">
        <v>6</v>
      </c>
      <c r="H12" s="7"/>
      <c r="I12" s="7"/>
      <c r="J12" s="12"/>
      <c r="K12" s="12"/>
      <c r="L12" s="7"/>
      <c r="M12" s="7">
        <v>4</v>
      </c>
      <c r="N12" s="20">
        <v>4.5</v>
      </c>
      <c r="O12" s="7"/>
      <c r="P12" s="7">
        <v>3.9</v>
      </c>
      <c r="Q12" s="12"/>
      <c r="R12" s="12"/>
      <c r="S12" s="20">
        <v>2.8</v>
      </c>
      <c r="T12" s="7">
        <v>4.5999999999999996</v>
      </c>
      <c r="U12" s="7"/>
      <c r="V12" s="7"/>
      <c r="W12" s="7"/>
      <c r="X12" s="12"/>
      <c r="Y12" s="12"/>
      <c r="Z12" s="7"/>
      <c r="AA12" s="7"/>
      <c r="AB12" s="7"/>
      <c r="AC12" s="7"/>
      <c r="AD12" s="7">
        <v>5.6</v>
      </c>
      <c r="AE12" s="12"/>
      <c r="AF12" s="12"/>
    </row>
    <row r="13" spans="1:32" x14ac:dyDescent="0.3">
      <c r="A13" s="3" t="s">
        <v>1</v>
      </c>
      <c r="B13" s="8"/>
      <c r="C13" s="12"/>
      <c r="D13" s="12"/>
      <c r="E13" s="19" t="s">
        <v>586</v>
      </c>
      <c r="F13" s="8"/>
      <c r="G13" s="8" t="s">
        <v>490</v>
      </c>
      <c r="H13" s="8"/>
      <c r="I13" s="8"/>
      <c r="J13" s="12"/>
      <c r="K13" s="12"/>
      <c r="L13" s="8"/>
      <c r="M13" s="8" t="s">
        <v>587</v>
      </c>
      <c r="N13" s="8" t="s">
        <v>588</v>
      </c>
      <c r="O13" s="8"/>
      <c r="P13" s="8"/>
      <c r="Q13" s="12"/>
      <c r="R13" s="12"/>
      <c r="S13" s="8" t="s">
        <v>589</v>
      </c>
      <c r="T13" s="8"/>
      <c r="U13" s="8"/>
      <c r="V13" s="8"/>
      <c r="W13" s="8"/>
      <c r="X13" s="12"/>
      <c r="Y13" s="12"/>
      <c r="Z13" s="8"/>
      <c r="AA13" s="8"/>
      <c r="AB13" s="8"/>
      <c r="AC13" s="8"/>
      <c r="AD13" s="8" t="s">
        <v>590</v>
      </c>
      <c r="AE13" s="12"/>
      <c r="AF13" s="12"/>
    </row>
    <row r="14" spans="1:32" x14ac:dyDescent="0.3">
      <c r="A14" s="4" t="s">
        <v>13</v>
      </c>
      <c r="B14" s="7"/>
      <c r="C14" s="12"/>
      <c r="D14" s="12"/>
      <c r="E14" s="20">
        <v>2.9</v>
      </c>
      <c r="F14" s="7"/>
      <c r="G14" s="7">
        <v>7.8</v>
      </c>
      <c r="H14" s="7"/>
      <c r="I14" s="7"/>
      <c r="J14" s="12"/>
      <c r="K14" s="12"/>
      <c r="L14" s="7"/>
      <c r="M14" s="7">
        <v>4.3</v>
      </c>
      <c r="N14" s="7">
        <v>7.5</v>
      </c>
      <c r="O14" s="7"/>
      <c r="P14" s="7"/>
      <c r="Q14" s="12"/>
      <c r="R14" s="12"/>
      <c r="S14" s="7">
        <v>1.3</v>
      </c>
      <c r="T14" s="7"/>
      <c r="U14" s="7"/>
      <c r="V14" s="7"/>
      <c r="W14" s="7"/>
      <c r="X14" s="12"/>
      <c r="Y14" s="12"/>
      <c r="Z14" s="7"/>
      <c r="AA14" s="7"/>
      <c r="AB14" s="7"/>
      <c r="AC14" s="7"/>
      <c r="AD14" s="7">
        <v>9.34</v>
      </c>
      <c r="AE14" s="12"/>
      <c r="AF14" s="12"/>
    </row>
    <row r="15" spans="1:32" x14ac:dyDescent="0.3">
      <c r="A15" s="3" t="s">
        <v>1</v>
      </c>
      <c r="B15" s="8"/>
      <c r="C15" s="12"/>
      <c r="D15" s="12"/>
      <c r="E15" s="8"/>
      <c r="F15" s="8"/>
      <c r="G15" s="8"/>
      <c r="H15" s="8"/>
      <c r="I15" s="8"/>
      <c r="J15" s="12"/>
      <c r="K15" s="12"/>
      <c r="L15" s="8"/>
      <c r="M15" s="8"/>
      <c r="N15" s="8"/>
      <c r="O15" s="8"/>
      <c r="P15" s="8"/>
      <c r="Q15" s="12"/>
      <c r="R15" s="12"/>
      <c r="S15" s="8"/>
      <c r="T15" s="8"/>
      <c r="U15" s="8"/>
      <c r="V15" s="8"/>
      <c r="W15" s="8"/>
      <c r="X15" s="12"/>
      <c r="Y15" s="12"/>
      <c r="Z15" s="8"/>
      <c r="AA15" s="8"/>
      <c r="AB15" s="8"/>
      <c r="AC15" s="8"/>
      <c r="AD15" s="8"/>
      <c r="AE15" s="12"/>
      <c r="AF15" s="12"/>
    </row>
    <row r="16" spans="1:32" x14ac:dyDescent="0.3">
      <c r="A16" s="4" t="s">
        <v>13</v>
      </c>
      <c r="B16" s="7"/>
      <c r="C16" s="12"/>
      <c r="D16" s="12"/>
      <c r="E16" s="7"/>
      <c r="F16" s="7"/>
      <c r="G16" s="7"/>
      <c r="H16" s="7"/>
      <c r="I16" s="7"/>
      <c r="J16" s="12"/>
      <c r="K16" s="12"/>
      <c r="L16" s="7"/>
      <c r="M16" s="7"/>
      <c r="N16" s="7"/>
      <c r="O16" s="7"/>
      <c r="P16" s="7"/>
      <c r="Q16" s="12"/>
      <c r="R16" s="12"/>
      <c r="S16" s="7"/>
      <c r="T16" s="7"/>
      <c r="U16" s="7"/>
      <c r="V16" s="7"/>
      <c r="W16" s="7"/>
      <c r="X16" s="12"/>
      <c r="Y16" s="12"/>
      <c r="Z16" s="7"/>
      <c r="AA16" s="7"/>
      <c r="AB16" s="7"/>
      <c r="AC16" s="7"/>
      <c r="AD16" s="7"/>
      <c r="AE16" s="12"/>
      <c r="AF16" s="12"/>
    </row>
    <row r="17" spans="1:32" x14ac:dyDescent="0.3">
      <c r="A17" s="3" t="s">
        <v>1</v>
      </c>
      <c r="B17" s="8"/>
      <c r="C17" s="12"/>
      <c r="D17" s="12"/>
      <c r="E17" s="8"/>
      <c r="F17" s="8"/>
      <c r="G17" s="8"/>
      <c r="H17" s="8"/>
      <c r="I17" s="8"/>
      <c r="J17" s="12"/>
      <c r="K17" s="12"/>
      <c r="L17" s="8"/>
      <c r="M17" s="8"/>
      <c r="N17" s="8"/>
      <c r="O17" s="8"/>
      <c r="P17" s="8"/>
      <c r="Q17" s="12"/>
      <c r="R17" s="12"/>
      <c r="S17" s="8"/>
      <c r="T17" s="8" t="s">
        <v>591</v>
      </c>
      <c r="U17" s="8"/>
      <c r="V17" s="8"/>
      <c r="W17" s="8"/>
      <c r="X17" s="12"/>
      <c r="Y17" s="12"/>
      <c r="Z17" s="8"/>
      <c r="AA17" s="8"/>
      <c r="AB17" s="8"/>
      <c r="AC17" s="8"/>
      <c r="AD17" s="8"/>
      <c r="AE17" s="12"/>
      <c r="AF17" s="12"/>
    </row>
    <row r="18" spans="1:32" x14ac:dyDescent="0.3">
      <c r="A18" s="4" t="s">
        <v>13</v>
      </c>
      <c r="B18" s="7"/>
      <c r="C18" s="12"/>
      <c r="D18" s="12"/>
      <c r="E18" s="7"/>
      <c r="F18" s="7"/>
      <c r="G18" s="7"/>
      <c r="H18" s="7"/>
      <c r="I18" s="7"/>
      <c r="J18" s="12"/>
      <c r="K18" s="12"/>
      <c r="L18" s="7"/>
      <c r="M18" s="7"/>
      <c r="N18" s="7"/>
      <c r="O18" s="7"/>
      <c r="P18" s="7"/>
      <c r="Q18" s="12"/>
      <c r="R18" s="12"/>
      <c r="S18" s="7"/>
      <c r="T18" s="7">
        <v>4.7</v>
      </c>
      <c r="U18" s="7"/>
      <c r="V18" s="7"/>
      <c r="W18" s="7"/>
      <c r="X18" s="12"/>
      <c r="Y18" s="12"/>
      <c r="Z18" s="7"/>
      <c r="AA18" s="7"/>
      <c r="AB18" s="7"/>
      <c r="AC18" s="7"/>
      <c r="AD18" s="7"/>
      <c r="AE18" s="12"/>
      <c r="AF18" s="12"/>
    </row>
    <row r="19" spans="1:32" x14ac:dyDescent="0.3">
      <c r="A19" s="3" t="s">
        <v>1</v>
      </c>
      <c r="B19" s="8"/>
      <c r="C19" s="12"/>
      <c r="D19" s="12"/>
      <c r="E19" s="8"/>
      <c r="F19" s="8"/>
      <c r="G19" s="8"/>
      <c r="H19" s="8"/>
      <c r="I19" s="8"/>
      <c r="J19" s="12"/>
      <c r="K19" s="12"/>
      <c r="L19" s="8"/>
      <c r="M19" s="8"/>
      <c r="N19" s="8"/>
      <c r="O19" s="8"/>
      <c r="P19" s="8"/>
      <c r="Q19" s="12"/>
      <c r="R19" s="12"/>
      <c r="S19" s="8"/>
      <c r="T19" s="8" t="s">
        <v>592</v>
      </c>
      <c r="U19" s="8"/>
      <c r="V19" s="8"/>
      <c r="W19" s="8"/>
      <c r="X19" s="12"/>
      <c r="Y19" s="12"/>
      <c r="Z19" s="8"/>
      <c r="AA19" s="8"/>
      <c r="AB19" s="8"/>
      <c r="AC19" s="8"/>
      <c r="AD19" s="8"/>
      <c r="AE19" s="12"/>
      <c r="AF19" s="12"/>
    </row>
    <row r="20" spans="1:32" x14ac:dyDescent="0.3">
      <c r="A20" s="4" t="s">
        <v>13</v>
      </c>
      <c r="B20" s="7"/>
      <c r="C20" s="12"/>
      <c r="D20" s="12"/>
      <c r="E20" s="7"/>
      <c r="F20" s="7"/>
      <c r="G20" s="7"/>
      <c r="H20" s="7"/>
      <c r="I20" s="7"/>
      <c r="J20" s="12"/>
      <c r="K20" s="12"/>
      <c r="L20" s="7"/>
      <c r="M20" s="7"/>
      <c r="N20" s="7"/>
      <c r="O20" s="7"/>
      <c r="P20" s="7"/>
      <c r="Q20" s="12"/>
      <c r="R20" s="12"/>
      <c r="S20" s="7"/>
      <c r="T20" s="7">
        <v>2.6</v>
      </c>
      <c r="U20" s="7"/>
      <c r="V20" s="7"/>
      <c r="W20" s="7"/>
      <c r="X20" s="12"/>
      <c r="Y20" s="12"/>
      <c r="Z20" s="7"/>
      <c r="AA20" s="7"/>
      <c r="AB20" s="7"/>
      <c r="AC20" s="7"/>
      <c r="AD20" s="7"/>
      <c r="AE20" s="12"/>
      <c r="AF20" s="12"/>
    </row>
    <row r="21" spans="1:32" x14ac:dyDescent="0.3">
      <c r="A21" s="3" t="s">
        <v>1</v>
      </c>
      <c r="B21" s="8"/>
      <c r="C21" s="12"/>
      <c r="D21" s="12"/>
      <c r="E21" s="8"/>
      <c r="F21" s="8"/>
      <c r="G21" s="8"/>
      <c r="H21" s="8"/>
      <c r="I21" s="8"/>
      <c r="J21" s="12"/>
      <c r="K21" s="12"/>
      <c r="L21" s="8"/>
      <c r="M21" s="8"/>
      <c r="N21" s="8"/>
      <c r="O21" s="8"/>
      <c r="P21" s="8"/>
      <c r="Q21" s="12"/>
      <c r="R21" s="12"/>
      <c r="S21" s="8"/>
      <c r="T21" s="8"/>
      <c r="U21" s="8"/>
      <c r="V21" s="8"/>
      <c r="W21" s="8"/>
      <c r="X21" s="12"/>
      <c r="Y21" s="12"/>
      <c r="Z21" s="8"/>
      <c r="AA21" s="8"/>
      <c r="AB21" s="8"/>
      <c r="AC21" s="8"/>
      <c r="AD21" s="8"/>
      <c r="AE21" s="12"/>
      <c r="AF21" s="12"/>
    </row>
    <row r="22" spans="1:32" x14ac:dyDescent="0.3">
      <c r="A22" s="4" t="s">
        <v>13</v>
      </c>
      <c r="B22" s="7"/>
      <c r="C22" s="12"/>
      <c r="D22" s="12"/>
      <c r="E22" s="7"/>
      <c r="F22" s="7"/>
      <c r="G22" s="7"/>
      <c r="H22" s="7"/>
      <c r="I22" s="7"/>
      <c r="J22" s="12"/>
      <c r="K22" s="12"/>
      <c r="L22" s="7"/>
      <c r="M22" s="7"/>
      <c r="N22" s="7"/>
      <c r="O22" s="7"/>
      <c r="P22" s="7"/>
      <c r="Q22" s="12"/>
      <c r="R22" s="12"/>
      <c r="S22" s="7"/>
      <c r="T22" s="7"/>
      <c r="U22" s="7"/>
      <c r="V22" s="7"/>
      <c r="W22" s="7"/>
      <c r="X22" s="12"/>
      <c r="Y22" s="12"/>
      <c r="Z22" s="7"/>
      <c r="AA22" s="7"/>
      <c r="AB22" s="7"/>
      <c r="AC22" s="7"/>
      <c r="AD22" s="7"/>
      <c r="AE22" s="12"/>
      <c r="AF22" s="12"/>
    </row>
    <row r="23" spans="1:32" x14ac:dyDescent="0.3">
      <c r="A23" s="3" t="s">
        <v>1</v>
      </c>
      <c r="B23" s="8"/>
      <c r="C23" s="12"/>
      <c r="D23" s="12"/>
      <c r="E23" s="8"/>
      <c r="F23" s="8"/>
      <c r="G23" s="8"/>
      <c r="H23" s="8"/>
      <c r="I23" s="8"/>
      <c r="J23" s="12"/>
      <c r="K23" s="12"/>
      <c r="L23" s="8"/>
      <c r="M23" s="8"/>
      <c r="N23" s="8"/>
      <c r="O23" s="8"/>
      <c r="P23" s="8"/>
      <c r="Q23" s="12"/>
      <c r="R23" s="12"/>
      <c r="S23" s="8"/>
      <c r="T23" s="8"/>
      <c r="U23" s="8"/>
      <c r="V23" s="8"/>
      <c r="W23" s="8"/>
      <c r="X23" s="12"/>
      <c r="Y23" s="12"/>
      <c r="Z23" s="8"/>
      <c r="AA23" s="8"/>
      <c r="AB23" s="8"/>
      <c r="AC23" s="8"/>
      <c r="AD23" s="8"/>
      <c r="AE23" s="12"/>
      <c r="AF23" s="12"/>
    </row>
    <row r="24" spans="1:32" x14ac:dyDescent="0.3">
      <c r="A24" s="4" t="s">
        <v>13</v>
      </c>
      <c r="B24" s="7"/>
      <c r="C24" s="12"/>
      <c r="D24" s="12"/>
      <c r="E24" s="7"/>
      <c r="F24" s="7"/>
      <c r="G24" s="7"/>
      <c r="H24" s="7"/>
      <c r="I24" s="7"/>
      <c r="J24" s="12"/>
      <c r="K24" s="12"/>
      <c r="L24" s="7"/>
      <c r="M24" s="7"/>
      <c r="N24" s="7"/>
      <c r="O24" s="7"/>
      <c r="P24" s="7"/>
      <c r="Q24" s="12"/>
      <c r="R24" s="12"/>
      <c r="S24" s="7"/>
      <c r="T24" s="7"/>
      <c r="U24" s="7"/>
      <c r="V24" s="7"/>
      <c r="W24" s="7"/>
      <c r="X24" s="12"/>
      <c r="Y24" s="12"/>
      <c r="Z24" s="7"/>
      <c r="AA24" s="7"/>
      <c r="AB24" s="7"/>
      <c r="AC24" s="7"/>
      <c r="AD24" s="7"/>
      <c r="AE24" s="12"/>
      <c r="AF24" s="12"/>
    </row>
    <row r="25" spans="1:32" x14ac:dyDescent="0.3">
      <c r="A25" s="3" t="s">
        <v>1</v>
      </c>
      <c r="B25" s="8"/>
      <c r="C25" s="12"/>
      <c r="D25" s="12"/>
      <c r="E25" s="8"/>
      <c r="F25" s="8"/>
      <c r="G25" s="8"/>
      <c r="H25" s="8"/>
      <c r="I25" s="8"/>
      <c r="J25" s="12"/>
      <c r="K25" s="12"/>
      <c r="L25" s="8"/>
      <c r="M25" s="8"/>
      <c r="N25" s="8"/>
      <c r="O25" s="8"/>
      <c r="P25" s="8"/>
      <c r="Q25" s="12"/>
      <c r="R25" s="12"/>
      <c r="S25" s="8"/>
      <c r="T25" s="8"/>
      <c r="U25" s="8"/>
      <c r="V25" s="8"/>
      <c r="W25" s="8"/>
      <c r="X25" s="12"/>
      <c r="Y25" s="12"/>
      <c r="Z25" s="8"/>
      <c r="AA25" s="8"/>
      <c r="AB25" s="8"/>
      <c r="AC25" s="8"/>
      <c r="AD25" s="8"/>
      <c r="AE25" s="12"/>
      <c r="AF25" s="12"/>
    </row>
    <row r="26" spans="1:32" x14ac:dyDescent="0.3">
      <c r="A26" s="4" t="s">
        <v>13</v>
      </c>
      <c r="B26" s="7"/>
      <c r="C26" s="12"/>
      <c r="D26" s="12"/>
      <c r="E26" s="7"/>
      <c r="F26" s="7"/>
      <c r="G26" s="7"/>
      <c r="H26" s="7"/>
      <c r="I26" s="7"/>
      <c r="J26" s="12"/>
      <c r="K26" s="12"/>
      <c r="L26" s="7"/>
      <c r="M26" s="7"/>
      <c r="N26" s="7"/>
      <c r="O26" s="7"/>
      <c r="P26" s="7"/>
      <c r="Q26" s="12"/>
      <c r="R26" s="12"/>
      <c r="S26" s="7"/>
      <c r="T26" s="7"/>
      <c r="U26" s="7"/>
      <c r="V26" s="7"/>
      <c r="W26" s="7"/>
      <c r="X26" s="12"/>
      <c r="Y26" s="12"/>
      <c r="Z26" s="7"/>
      <c r="AA26" s="7"/>
      <c r="AB26" s="7"/>
      <c r="AC26" s="7"/>
      <c r="AD26" s="7"/>
      <c r="AE26" s="12"/>
      <c r="AF26" s="12"/>
    </row>
    <row r="27" spans="1:32" x14ac:dyDescent="0.3">
      <c r="A27" s="3" t="s">
        <v>1</v>
      </c>
      <c r="B27" s="8"/>
      <c r="C27" s="12"/>
      <c r="D27" s="12"/>
      <c r="E27" s="8"/>
      <c r="F27" s="8"/>
      <c r="G27" s="8"/>
      <c r="H27" s="8"/>
      <c r="I27" s="8"/>
      <c r="J27" s="12"/>
      <c r="K27" s="12"/>
      <c r="L27" s="8"/>
      <c r="M27" s="8"/>
      <c r="N27" s="8"/>
      <c r="O27" s="8"/>
      <c r="P27" s="8"/>
      <c r="Q27" s="12"/>
      <c r="R27" s="12"/>
      <c r="S27" s="8"/>
      <c r="T27" s="8"/>
      <c r="U27" s="8"/>
      <c r="V27" s="8"/>
      <c r="W27" s="8"/>
      <c r="X27" s="12"/>
      <c r="Y27" s="12"/>
      <c r="Z27" s="8"/>
      <c r="AA27" s="8"/>
      <c r="AB27" s="8"/>
      <c r="AC27" s="8"/>
      <c r="AD27" s="8"/>
      <c r="AE27" s="12"/>
      <c r="AF27" s="12"/>
    </row>
    <row r="28" spans="1:32" x14ac:dyDescent="0.3">
      <c r="A28" s="4" t="s">
        <v>13</v>
      </c>
      <c r="B28" s="7"/>
      <c r="C28" s="12"/>
      <c r="D28" s="12"/>
      <c r="E28" s="7"/>
      <c r="F28" s="7"/>
      <c r="G28" s="7"/>
      <c r="H28" s="7"/>
      <c r="I28" s="7"/>
      <c r="J28" s="12"/>
      <c r="K28" s="12"/>
      <c r="L28" s="7"/>
      <c r="M28" s="7"/>
      <c r="N28" s="7"/>
      <c r="O28" s="7"/>
      <c r="P28" s="7"/>
      <c r="Q28" s="12"/>
      <c r="R28" s="12"/>
      <c r="S28" s="7"/>
      <c r="T28" s="7"/>
      <c r="U28" s="7"/>
      <c r="V28" s="7"/>
      <c r="W28" s="7"/>
      <c r="X28" s="12"/>
      <c r="Y28" s="12"/>
      <c r="Z28" s="7"/>
      <c r="AA28" s="7"/>
      <c r="AB28" s="7"/>
      <c r="AC28" s="7"/>
      <c r="AD28" s="7"/>
      <c r="AE28" s="12"/>
      <c r="AF28" s="12"/>
    </row>
    <row r="29" spans="1:32" x14ac:dyDescent="0.3">
      <c r="A29" s="3" t="s">
        <v>1</v>
      </c>
      <c r="B29" s="8"/>
      <c r="C29" s="12"/>
      <c r="D29" s="12"/>
      <c r="E29" s="8"/>
      <c r="F29" s="8"/>
      <c r="G29" s="8"/>
      <c r="H29" s="8"/>
      <c r="I29" s="8"/>
      <c r="J29" s="12"/>
      <c r="K29" s="12"/>
      <c r="L29" s="8"/>
      <c r="M29" s="8"/>
      <c r="N29" s="8"/>
      <c r="O29" s="8"/>
      <c r="P29" s="8"/>
      <c r="Q29" s="12"/>
      <c r="R29" s="12"/>
      <c r="S29" s="8"/>
      <c r="T29" s="8"/>
      <c r="U29" s="8"/>
      <c r="V29" s="8"/>
      <c r="W29" s="8"/>
      <c r="X29" s="12"/>
      <c r="Y29" s="12"/>
      <c r="Z29" s="8"/>
      <c r="AA29" s="8"/>
      <c r="AB29" s="8"/>
      <c r="AC29" s="8"/>
      <c r="AD29" s="8"/>
      <c r="AE29" s="12"/>
      <c r="AF29" s="12"/>
    </row>
    <row r="30" spans="1:32" x14ac:dyDescent="0.3">
      <c r="A30" s="4" t="s">
        <v>13</v>
      </c>
      <c r="B30" s="7"/>
      <c r="C30" s="12"/>
      <c r="D30" s="12"/>
      <c r="E30" s="7"/>
      <c r="F30" s="7"/>
      <c r="G30" s="7"/>
      <c r="H30" s="7"/>
      <c r="I30" s="7"/>
      <c r="J30" s="12"/>
      <c r="K30" s="12"/>
      <c r="L30" s="7"/>
      <c r="M30" s="7"/>
      <c r="N30" s="7"/>
      <c r="O30" s="7"/>
      <c r="P30" s="7"/>
      <c r="Q30" s="12"/>
      <c r="R30" s="12"/>
      <c r="S30" s="7"/>
      <c r="T30" s="7"/>
      <c r="U30" s="7"/>
      <c r="V30" s="7"/>
      <c r="W30" s="7"/>
      <c r="X30" s="12"/>
      <c r="Y30" s="12"/>
      <c r="Z30" s="7"/>
      <c r="AA30" s="7"/>
      <c r="AB30" s="7"/>
      <c r="AC30" s="7"/>
      <c r="AD30" s="7"/>
      <c r="AE30" s="12"/>
      <c r="AF30" s="12"/>
    </row>
    <row r="31" spans="1:32" x14ac:dyDescent="0.3">
      <c r="A31" s="3" t="s">
        <v>1</v>
      </c>
      <c r="B31" s="8"/>
      <c r="C31" s="12"/>
      <c r="D31" s="12"/>
      <c r="E31" s="8"/>
      <c r="F31" s="8"/>
      <c r="G31" s="8"/>
      <c r="H31" s="8"/>
      <c r="I31" s="8"/>
      <c r="J31" s="12"/>
      <c r="K31" s="12"/>
      <c r="L31" s="8"/>
      <c r="M31" s="8"/>
      <c r="N31" s="8"/>
      <c r="O31" s="8"/>
      <c r="P31" s="8"/>
      <c r="Q31" s="12"/>
      <c r="R31" s="12"/>
      <c r="S31" s="8"/>
      <c r="T31" s="8"/>
      <c r="U31" s="8"/>
      <c r="V31" s="8"/>
      <c r="W31" s="8"/>
      <c r="X31" s="12"/>
      <c r="Y31" s="12"/>
      <c r="Z31" s="8"/>
      <c r="AA31" s="8"/>
      <c r="AB31" s="8"/>
      <c r="AC31" s="8"/>
      <c r="AD31" s="8"/>
      <c r="AE31" s="12"/>
      <c r="AF31" s="12"/>
    </row>
    <row r="32" spans="1:32" x14ac:dyDescent="0.3">
      <c r="A32" s="4" t="s">
        <v>13</v>
      </c>
      <c r="B32" s="7"/>
      <c r="C32" s="12"/>
      <c r="D32" s="12"/>
      <c r="E32" s="7"/>
      <c r="F32" s="7"/>
      <c r="G32" s="7"/>
      <c r="H32" s="7"/>
      <c r="I32" s="7"/>
      <c r="J32" s="12"/>
      <c r="K32" s="12"/>
      <c r="L32" s="7"/>
      <c r="M32" s="7"/>
      <c r="N32" s="7"/>
      <c r="O32" s="7"/>
      <c r="P32" s="7"/>
      <c r="Q32" s="12"/>
      <c r="R32" s="12"/>
      <c r="S32" s="7"/>
      <c r="T32" s="7"/>
      <c r="U32" s="7"/>
      <c r="V32" s="7"/>
      <c r="W32" s="7"/>
      <c r="X32" s="12"/>
      <c r="Y32" s="12"/>
      <c r="Z32" s="7"/>
      <c r="AA32" s="7"/>
      <c r="AB32" s="7"/>
      <c r="AC32" s="7"/>
      <c r="AD32" s="7"/>
      <c r="AE32" s="12"/>
      <c r="AF32" s="12"/>
    </row>
    <row r="33" spans="1:32" x14ac:dyDescent="0.3">
      <c r="A33" s="9" t="s">
        <v>59</v>
      </c>
      <c r="B33" s="14">
        <f>32.4-B4-B6-B8-B10-B12-B14-B16-B18-B20-B22-B24-B26-B28-B30-B32</f>
        <v>2.9999999999996252E-2</v>
      </c>
      <c r="C33" s="14">
        <f>32.4-C4-C6-C8-C10-C12-C14-C16-C18-C20-C22-C24-C26-C28-C30-C32</f>
        <v>32.4</v>
      </c>
      <c r="D33" s="14">
        <f t="shared" ref="D33:R33" si="1">32.4-D4-D6-D8-D10-D12-D14-D16-D18-D20-D22-D24-D26-D28-D30-D32</f>
        <v>32.4</v>
      </c>
      <c r="E33" s="14">
        <f t="shared" si="1"/>
        <v>0</v>
      </c>
      <c r="F33" s="10">
        <f t="shared" si="1"/>
        <v>0.7999999999999976</v>
      </c>
      <c r="G33" s="10">
        <f t="shared" si="1"/>
        <v>2.7999999999999945</v>
      </c>
      <c r="H33" s="10">
        <f t="shared" si="1"/>
        <v>4</v>
      </c>
      <c r="I33" s="14">
        <f t="shared" si="1"/>
        <v>9.2999999999999989</v>
      </c>
      <c r="J33" s="14">
        <f t="shared" si="1"/>
        <v>32.4</v>
      </c>
      <c r="K33" s="14">
        <f t="shared" si="1"/>
        <v>32.4</v>
      </c>
      <c r="L33" s="14">
        <f>35.1-L4-L6-L8-L10-L12-L14-L16-L18-L20-L22-L24-L26-L28-L30-L32</f>
        <v>1.3322676295501878E-15</v>
      </c>
      <c r="M33" s="14">
        <f>35.1-M4-M6-M8-M10-M12-M14-M16-M18-M20-M22-M24-M26-M28-M30-M32</f>
        <v>8.8817841970012523E-16</v>
      </c>
      <c r="N33" s="88">
        <f>35.1-N4-N6-N8-N10-N12-N14-N16-N18-N20-N22-N24-N26-N28-N30-N32</f>
        <v>0</v>
      </c>
      <c r="O33" s="88">
        <f>35.1-O4-O6-O8-O10-O12-O14-O16-O18-O20-O22-O24-O26-O28-O30-O32</f>
        <v>19.5</v>
      </c>
      <c r="P33" s="10">
        <f>35.1-P4-P6-P8-P10-P12-P14-P16-P18-P20-P22-P24-P26-P28-P30-P32</f>
        <v>25.900000000000002</v>
      </c>
      <c r="Q33" s="14">
        <f t="shared" si="1"/>
        <v>32.4</v>
      </c>
      <c r="R33" s="14">
        <f t="shared" si="1"/>
        <v>32.4</v>
      </c>
      <c r="S33" s="14">
        <f t="shared" ref="S33:Y33" si="2">37.8-S4-S6-S8-S10-S12-S14-S16-S18-S20-S22-S24-S26-S28-S30-S32</f>
        <v>-1.9984014443252818E-15</v>
      </c>
      <c r="T33" s="95">
        <f t="shared" si="2"/>
        <v>13.1</v>
      </c>
      <c r="U33" s="95">
        <f t="shared" si="2"/>
        <v>2.5999999999999961</v>
      </c>
      <c r="V33" s="95">
        <f t="shared" si="2"/>
        <v>23.999999999999996</v>
      </c>
      <c r="W33" s="95">
        <f t="shared" si="2"/>
        <v>15.799999999999997</v>
      </c>
      <c r="X33" s="88">
        <f t="shared" si="2"/>
        <v>37.799999999999997</v>
      </c>
      <c r="Y33" s="88">
        <f t="shared" si="2"/>
        <v>37.799999999999997</v>
      </c>
      <c r="Z33" s="10">
        <f t="shared" ref="Z33:AF33" si="3">39.1-Z4-Z6-Z8-Z10-Z12-Z14-Z16-Z18-Z20-Z22-Z24-Z26-Z28-Z30-Z32</f>
        <v>8.9000000000000021</v>
      </c>
      <c r="AA33" s="10">
        <f t="shared" si="3"/>
        <v>14.8</v>
      </c>
      <c r="AB33" s="10">
        <f t="shared" si="3"/>
        <v>29.2</v>
      </c>
      <c r="AC33" s="10">
        <f t="shared" si="3"/>
        <v>29.93</v>
      </c>
      <c r="AD33" s="10">
        <f t="shared" si="3"/>
        <v>7.5599999999999987</v>
      </c>
      <c r="AE33" s="88">
        <f t="shared" si="3"/>
        <v>39.1</v>
      </c>
      <c r="AF33" s="88">
        <f t="shared" si="3"/>
        <v>39.1</v>
      </c>
    </row>
    <row r="35" spans="1:32" x14ac:dyDescent="0.3">
      <c r="S35" s="70" t="s">
        <v>593</v>
      </c>
      <c r="T35" s="70"/>
      <c r="U35" s="70"/>
      <c r="Z35" s="70" t="s">
        <v>594</v>
      </c>
      <c r="AA35" s="70"/>
      <c r="AB35" s="70"/>
    </row>
  </sheetData>
  <conditionalFormatting sqref="B2:AF2">
    <cfRule type="cellIs" dxfId="9" priority="1" operator="equal">
      <formula>40</formula>
    </cfRule>
    <cfRule type="cellIs" dxfId="8" priority="2" operator="greaterThan">
      <formula>40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8D6B-D0EF-4C2E-90C7-950F595FE26A}">
  <dimension ref="A1:AE33"/>
  <sheetViews>
    <sheetView topLeftCell="D1" workbookViewId="0">
      <selection activeCell="AE14" sqref="AE14"/>
    </sheetView>
  </sheetViews>
  <sheetFormatPr defaultRowHeight="14.4" x14ac:dyDescent="0.3"/>
  <cols>
    <col min="1" max="1" width="16" bestFit="1" customWidth="1"/>
    <col min="9" max="9" width="9.44140625" bestFit="1" customWidth="1"/>
    <col min="12" max="12" width="9.44140625" bestFit="1" customWidth="1"/>
    <col min="17" max="17" width="9.21875" bestFit="1" customWidth="1"/>
    <col min="19" max="20" width="9.44140625" bestFit="1" customWidth="1"/>
    <col min="23" max="23" width="9.44140625" bestFit="1" customWidth="1"/>
    <col min="24" max="25" width="9.21875" bestFit="1" customWidth="1"/>
    <col min="26" max="27" width="9.44140625" bestFit="1" customWidth="1"/>
  </cols>
  <sheetData>
    <row r="1" spans="1:31" x14ac:dyDescent="0.3">
      <c r="A1" s="3"/>
      <c r="B1" s="6">
        <v>45901</v>
      </c>
      <c r="C1" s="6">
        <v>45902</v>
      </c>
      <c r="D1" s="6">
        <v>45903</v>
      </c>
      <c r="E1" s="6">
        <v>45904</v>
      </c>
      <c r="F1" s="6">
        <v>45905</v>
      </c>
      <c r="G1" s="11">
        <v>45906</v>
      </c>
      <c r="H1" s="11">
        <v>45907</v>
      </c>
      <c r="I1" s="6">
        <v>45908</v>
      </c>
      <c r="J1" s="6">
        <v>45909</v>
      </c>
      <c r="K1" s="6">
        <v>45910</v>
      </c>
      <c r="L1" s="6">
        <v>45911</v>
      </c>
      <c r="M1" s="6">
        <v>45912</v>
      </c>
      <c r="N1" s="11">
        <v>45913</v>
      </c>
      <c r="O1" s="11">
        <v>45914</v>
      </c>
      <c r="P1" s="6">
        <v>45915</v>
      </c>
      <c r="Q1" s="6">
        <v>45916</v>
      </c>
      <c r="R1" s="6">
        <v>45917</v>
      </c>
      <c r="S1" s="6">
        <v>45918</v>
      </c>
      <c r="T1" s="6">
        <v>45919</v>
      </c>
      <c r="U1" s="11">
        <v>45920</v>
      </c>
      <c r="V1" s="11">
        <v>45921</v>
      </c>
      <c r="W1" s="6">
        <v>45922</v>
      </c>
      <c r="X1" s="6">
        <v>45923</v>
      </c>
      <c r="Y1" s="6">
        <v>45924</v>
      </c>
      <c r="Z1" s="6">
        <v>45925</v>
      </c>
      <c r="AA1" s="6">
        <v>45926</v>
      </c>
      <c r="AB1" s="11">
        <v>45927</v>
      </c>
      <c r="AC1" s="11">
        <v>45928</v>
      </c>
      <c r="AD1" s="6">
        <v>45929</v>
      </c>
      <c r="AE1" s="6">
        <v>45930</v>
      </c>
    </row>
    <row r="2" spans="1:31" x14ac:dyDescent="0.3">
      <c r="A2" s="1" t="s">
        <v>0</v>
      </c>
      <c r="B2" s="2">
        <f>B4+B6+B8+B10+B12+B14+B16+B18+B20+B22+B24+B26+B28+B30+B32</f>
        <v>39.1</v>
      </c>
      <c r="C2" s="2">
        <f>C4+C6+C8+C10+C12+C14+C16+C18+C20+C22+C24+C26+C28+C30+C32</f>
        <v>35.559999999999995</v>
      </c>
      <c r="D2" s="2">
        <f t="shared" ref="D2:AE2" si="0">D4+D6+D8+D10+D12+D14+D16+D18+D20+D22+D24+D26+D28+D30+D32</f>
        <v>19.8</v>
      </c>
      <c r="E2" s="2">
        <f t="shared" si="0"/>
        <v>35.440000000000005</v>
      </c>
      <c r="F2" s="2">
        <f t="shared" si="0"/>
        <v>16.5</v>
      </c>
      <c r="G2" s="12">
        <f t="shared" si="0"/>
        <v>0</v>
      </c>
      <c r="H2" s="12">
        <f t="shared" si="0"/>
        <v>0</v>
      </c>
      <c r="I2" s="2">
        <f t="shared" si="0"/>
        <v>37.9</v>
      </c>
      <c r="J2" s="2">
        <f t="shared" si="0"/>
        <v>9.3999999999999986</v>
      </c>
      <c r="K2" s="2">
        <f t="shared" si="0"/>
        <v>16.720000000000002</v>
      </c>
      <c r="L2" s="2">
        <f>L4+L6+L8+L10+L12+L14+L16+L18+L20+L22+L24+L26+L28+L30+L32</f>
        <v>34.599999999999994</v>
      </c>
      <c r="M2" s="2">
        <f t="shared" si="0"/>
        <v>19.36</v>
      </c>
      <c r="N2" s="12">
        <f t="shared" si="0"/>
        <v>0</v>
      </c>
      <c r="O2" s="12">
        <f t="shared" si="0"/>
        <v>0</v>
      </c>
      <c r="P2" s="2">
        <f t="shared" si="0"/>
        <v>25.6</v>
      </c>
      <c r="Q2" s="2">
        <f>Q4+Q6+Q8+Q10+Q12+Q14+Q16+Q18+Q20+Q22+Q24+Q26+Q28+Q30+Q32</f>
        <v>38.5</v>
      </c>
      <c r="R2" s="2">
        <f t="shared" si="0"/>
        <v>38.5</v>
      </c>
      <c r="S2" s="2">
        <f>S4+S6+S8+S10+S12+S14+S16+S18+S20+S22+S24+S26+S28+S30+S32</f>
        <v>37.799999999999997</v>
      </c>
      <c r="T2" s="2">
        <f>T4+T6+T8+T10+T12+T14+T16+T18+T20+T22+T24+T26+T28+T30+T32</f>
        <v>38.5</v>
      </c>
      <c r="U2" s="12">
        <f t="shared" si="0"/>
        <v>0</v>
      </c>
      <c r="V2" s="12">
        <f t="shared" si="0"/>
        <v>0</v>
      </c>
      <c r="W2" s="2">
        <f t="shared" si="0"/>
        <v>34.120000000000005</v>
      </c>
      <c r="X2" s="2">
        <f t="shared" si="0"/>
        <v>38.57</v>
      </c>
      <c r="Y2" s="2">
        <f t="shared" si="0"/>
        <v>38.5</v>
      </c>
      <c r="Z2" s="2">
        <f t="shared" si="0"/>
        <v>38.53</v>
      </c>
      <c r="AA2" s="2">
        <f>AA4+AA6+AA8+AA10+AA12+AA14+AA16+AA18+AA20+AA22+AA24+AA26+AA28+AA30+AA32</f>
        <v>33.4</v>
      </c>
      <c r="AB2" s="12">
        <f t="shared" si="0"/>
        <v>0</v>
      </c>
      <c r="AC2" s="12">
        <f t="shared" si="0"/>
        <v>0</v>
      </c>
      <c r="AD2" s="2">
        <f t="shared" si="0"/>
        <v>7.8</v>
      </c>
      <c r="AE2" s="2">
        <f t="shared" si="0"/>
        <v>38.5</v>
      </c>
    </row>
    <row r="3" spans="1:31" x14ac:dyDescent="0.3">
      <c r="A3" s="3" t="s">
        <v>1</v>
      </c>
      <c r="B3" s="89" t="s">
        <v>2</v>
      </c>
      <c r="C3" s="8" t="s">
        <v>595</v>
      </c>
      <c r="D3" s="8" t="s">
        <v>596</v>
      </c>
      <c r="E3" s="8" t="s">
        <v>597</v>
      </c>
      <c r="F3" s="8" t="s">
        <v>598</v>
      </c>
      <c r="G3" s="12"/>
      <c r="H3" s="12"/>
      <c r="I3" s="89" t="s">
        <v>2</v>
      </c>
      <c r="J3" s="8" t="s">
        <v>599</v>
      </c>
      <c r="K3" s="8" t="s">
        <v>600</v>
      </c>
      <c r="L3" s="8" t="s">
        <v>601</v>
      </c>
      <c r="M3" s="8" t="s">
        <v>602</v>
      </c>
      <c r="N3" s="12"/>
      <c r="O3" s="12"/>
      <c r="P3" s="89" t="s">
        <v>2</v>
      </c>
      <c r="Q3" s="8" t="s">
        <v>603</v>
      </c>
      <c r="R3" s="8" t="s">
        <v>604</v>
      </c>
      <c r="S3" s="8" t="s">
        <v>605</v>
      </c>
      <c r="T3" s="8" t="s">
        <v>606</v>
      </c>
      <c r="U3" s="12"/>
      <c r="V3" s="12"/>
      <c r="W3" s="89" t="s">
        <v>2</v>
      </c>
      <c r="X3" t="s">
        <v>607</v>
      </c>
      <c r="Y3" s="8" t="s">
        <v>608</v>
      </c>
      <c r="Z3" s="8" t="s">
        <v>609</v>
      </c>
      <c r="AA3" s="8" t="s">
        <v>610</v>
      </c>
      <c r="AB3" s="12"/>
      <c r="AC3" s="12"/>
      <c r="AD3" s="89" t="s">
        <v>2</v>
      </c>
      <c r="AE3" s="8" t="s">
        <v>611</v>
      </c>
    </row>
    <row r="4" spans="1:31" x14ac:dyDescent="0.3">
      <c r="A4" s="4" t="s">
        <v>13</v>
      </c>
      <c r="B4" s="90">
        <v>20</v>
      </c>
      <c r="C4" s="7">
        <v>5.6</v>
      </c>
      <c r="D4" s="7">
        <v>3.5</v>
      </c>
      <c r="E4" s="7">
        <v>2.4</v>
      </c>
      <c r="F4" s="7">
        <v>3.2</v>
      </c>
      <c r="G4" s="12"/>
      <c r="H4" s="12"/>
      <c r="I4" s="90">
        <v>20</v>
      </c>
      <c r="J4" s="7">
        <v>4.5999999999999996</v>
      </c>
      <c r="K4" s="65">
        <v>8.32</v>
      </c>
      <c r="L4" s="7">
        <v>7.28</v>
      </c>
      <c r="M4" s="7">
        <v>8.36</v>
      </c>
      <c r="N4" s="12"/>
      <c r="O4" s="12"/>
      <c r="P4" s="90"/>
      <c r="Q4" s="7">
        <v>27</v>
      </c>
      <c r="R4" s="7">
        <v>19.399999999999999</v>
      </c>
      <c r="S4" s="7">
        <v>3.3</v>
      </c>
      <c r="T4" s="7">
        <v>28.2</v>
      </c>
      <c r="U4" s="12"/>
      <c r="V4" s="12"/>
      <c r="W4" s="90">
        <v>20</v>
      </c>
      <c r="X4" s="7">
        <v>2.77</v>
      </c>
      <c r="Y4" s="65">
        <v>8.6</v>
      </c>
      <c r="Z4" s="65">
        <v>15</v>
      </c>
      <c r="AA4" s="7">
        <v>2.6</v>
      </c>
      <c r="AB4" s="12"/>
      <c r="AC4" s="12"/>
      <c r="AD4" s="90">
        <v>0</v>
      </c>
      <c r="AE4" s="7">
        <v>20.8</v>
      </c>
    </row>
    <row r="5" spans="1:31" x14ac:dyDescent="0.3">
      <c r="A5" s="3" t="s">
        <v>1</v>
      </c>
      <c r="B5" s="91" t="s">
        <v>14</v>
      </c>
      <c r="C5" s="8" t="s">
        <v>612</v>
      </c>
      <c r="D5" s="8" t="s">
        <v>613</v>
      </c>
      <c r="E5" s="8" t="s">
        <v>614</v>
      </c>
      <c r="F5" s="8" t="s">
        <v>615</v>
      </c>
      <c r="G5" s="12"/>
      <c r="H5" s="12"/>
      <c r="I5" s="91" t="s">
        <v>14</v>
      </c>
      <c r="J5" s="8" t="s">
        <v>616</v>
      </c>
      <c r="K5" s="8" t="s">
        <v>617</v>
      </c>
      <c r="L5" s="8" t="s">
        <v>618</v>
      </c>
      <c r="M5" s="8" t="s">
        <v>619</v>
      </c>
      <c r="N5" s="12"/>
      <c r="O5" s="12"/>
      <c r="P5" s="91" t="s">
        <v>14</v>
      </c>
      <c r="Q5" s="8" t="s">
        <v>620</v>
      </c>
      <c r="R5" s="8" t="s">
        <v>621</v>
      </c>
      <c r="S5" s="8" t="s">
        <v>622</v>
      </c>
      <c r="T5" s="19" t="s">
        <v>623</v>
      </c>
      <c r="U5" s="12"/>
      <c r="V5" s="12"/>
      <c r="W5" s="91" t="s">
        <v>14</v>
      </c>
      <c r="X5" s="8" t="s">
        <v>624</v>
      </c>
      <c r="Y5" s="8" t="s">
        <v>625</v>
      </c>
      <c r="Z5" s="8" t="s">
        <v>626</v>
      </c>
      <c r="AA5" s="8" t="s">
        <v>627</v>
      </c>
      <c r="AB5" s="12"/>
      <c r="AC5" s="12"/>
      <c r="AD5" s="91" t="s">
        <v>14</v>
      </c>
      <c r="AE5" s="8" t="s">
        <v>628</v>
      </c>
    </row>
    <row r="6" spans="1:31" x14ac:dyDescent="0.3">
      <c r="A6" s="4" t="s">
        <v>13</v>
      </c>
      <c r="B6" s="92">
        <v>5</v>
      </c>
      <c r="C6" s="7">
        <v>18.399999999999999</v>
      </c>
      <c r="D6" s="7">
        <v>9.8000000000000007</v>
      </c>
      <c r="E6" s="7">
        <v>2.94</v>
      </c>
      <c r="F6" s="7">
        <v>4.0999999999999996</v>
      </c>
      <c r="G6" s="12"/>
      <c r="H6" s="12"/>
      <c r="I6" s="92">
        <v>5</v>
      </c>
      <c r="J6" s="65">
        <v>2.6</v>
      </c>
      <c r="K6" s="7">
        <v>2.8</v>
      </c>
      <c r="L6" s="65">
        <v>4.62</v>
      </c>
      <c r="M6" s="7">
        <v>2.6</v>
      </c>
      <c r="N6" s="12"/>
      <c r="O6" s="12"/>
      <c r="P6" s="92">
        <v>5</v>
      </c>
      <c r="Q6" s="7">
        <v>11.5</v>
      </c>
      <c r="R6" s="7">
        <v>19.100000000000001</v>
      </c>
      <c r="S6" s="7">
        <v>1.5</v>
      </c>
      <c r="T6" s="20">
        <v>10.3</v>
      </c>
      <c r="U6" s="12"/>
      <c r="V6" s="12"/>
      <c r="W6" s="92">
        <v>5</v>
      </c>
      <c r="X6" s="7">
        <v>8.4</v>
      </c>
      <c r="Y6" s="7">
        <v>8.6</v>
      </c>
      <c r="Z6" s="7">
        <v>19</v>
      </c>
      <c r="AA6" s="7">
        <v>13.2</v>
      </c>
      <c r="AB6" s="12"/>
      <c r="AC6" s="12"/>
      <c r="AD6" s="92">
        <v>5</v>
      </c>
      <c r="AE6" s="7">
        <v>17.7</v>
      </c>
    </row>
    <row r="7" spans="1:31" x14ac:dyDescent="0.3">
      <c r="A7" s="3" t="s">
        <v>1</v>
      </c>
      <c r="B7" s="8" t="s">
        <v>629</v>
      </c>
      <c r="C7" s="19" t="s">
        <v>630</v>
      </c>
      <c r="D7" s="8" t="s">
        <v>631</v>
      </c>
      <c r="E7" s="8" t="s">
        <v>632</v>
      </c>
      <c r="F7" s="8" t="s">
        <v>633</v>
      </c>
      <c r="G7" s="12"/>
      <c r="H7" s="12"/>
      <c r="I7" s="8" t="s">
        <v>634</v>
      </c>
      <c r="J7" s="8" t="s">
        <v>635</v>
      </c>
      <c r="K7" s="8" t="s">
        <v>636</v>
      </c>
      <c r="M7" s="8" t="s">
        <v>637</v>
      </c>
      <c r="N7" s="12"/>
      <c r="O7" s="12"/>
      <c r="P7" s="8" t="s">
        <v>638</v>
      </c>
      <c r="Q7" s="8"/>
      <c r="R7" s="8"/>
      <c r="S7" s="8" t="s">
        <v>639</v>
      </c>
      <c r="T7" s="8"/>
      <c r="U7" s="12"/>
      <c r="V7" s="12"/>
      <c r="W7" s="19" t="s">
        <v>623</v>
      </c>
      <c r="X7" s="8" t="s">
        <v>640</v>
      </c>
      <c r="Y7" s="19" t="s">
        <v>641</v>
      </c>
      <c r="Z7" s="8" t="s">
        <v>642</v>
      </c>
      <c r="AA7" s="8" t="s">
        <v>643</v>
      </c>
      <c r="AB7" s="12"/>
      <c r="AC7" s="12"/>
      <c r="AD7" s="8"/>
      <c r="AE7" s="8"/>
    </row>
    <row r="8" spans="1:31" x14ac:dyDescent="0.3">
      <c r="A8" s="4" t="s">
        <v>13</v>
      </c>
      <c r="B8" s="7">
        <v>7.4</v>
      </c>
      <c r="C8" s="20">
        <v>0.7</v>
      </c>
      <c r="D8" s="7">
        <v>1.5</v>
      </c>
      <c r="E8" s="7">
        <v>2.4</v>
      </c>
      <c r="F8" s="7">
        <v>4.9000000000000004</v>
      </c>
      <c r="G8" s="12"/>
      <c r="H8" s="12"/>
      <c r="I8" s="65">
        <v>12.9</v>
      </c>
      <c r="J8" s="7">
        <v>2.2000000000000002</v>
      </c>
      <c r="K8" s="7">
        <v>2.8</v>
      </c>
      <c r="L8" s="65"/>
      <c r="M8" s="7">
        <v>4.0999999999999996</v>
      </c>
      <c r="N8" s="12"/>
      <c r="O8" s="12"/>
      <c r="P8" s="7">
        <v>2.6</v>
      </c>
      <c r="Q8" s="7"/>
      <c r="R8" s="7"/>
      <c r="S8" s="7">
        <v>33</v>
      </c>
      <c r="T8" s="7"/>
      <c r="U8" s="12"/>
      <c r="V8" s="12"/>
      <c r="W8" s="20">
        <v>2.1</v>
      </c>
      <c r="X8" s="65">
        <v>3.3</v>
      </c>
      <c r="Y8" s="19">
        <v>10.3</v>
      </c>
      <c r="Z8" s="7">
        <v>2.83</v>
      </c>
      <c r="AA8" s="7">
        <v>8.4</v>
      </c>
      <c r="AB8" s="12"/>
      <c r="AC8" s="12"/>
      <c r="AD8" s="7"/>
      <c r="AE8" s="7"/>
    </row>
    <row r="9" spans="1:31" x14ac:dyDescent="0.3">
      <c r="A9" s="3" t="s">
        <v>1</v>
      </c>
      <c r="B9" s="8" t="s">
        <v>644</v>
      </c>
      <c r="C9" s="8" t="s">
        <v>645</v>
      </c>
      <c r="D9" s="8" t="s">
        <v>646</v>
      </c>
      <c r="E9" s="8" t="s">
        <v>647</v>
      </c>
      <c r="F9" s="8" t="s">
        <v>648</v>
      </c>
      <c r="G9" s="12"/>
      <c r="H9" s="12"/>
      <c r="I9" s="8"/>
      <c r="J9" s="8"/>
      <c r="K9" s="8" t="s">
        <v>649</v>
      </c>
      <c r="L9" s="8" t="s">
        <v>650</v>
      </c>
      <c r="M9" s="8" t="s">
        <v>651</v>
      </c>
      <c r="N9" s="12"/>
      <c r="O9" s="12"/>
      <c r="P9" s="8" t="s">
        <v>652</v>
      </c>
      <c r="Q9" s="8"/>
      <c r="R9" s="8"/>
      <c r="S9" s="8"/>
      <c r="T9" s="8"/>
      <c r="U9" s="12"/>
      <c r="V9" s="12"/>
      <c r="W9" s="8" t="s">
        <v>653</v>
      </c>
      <c r="X9" s="8" t="s">
        <v>654</v>
      </c>
      <c r="Y9" s="8" t="s">
        <v>655</v>
      </c>
      <c r="Z9" s="8" t="s">
        <v>656</v>
      </c>
      <c r="AA9" s="19" t="s">
        <v>657</v>
      </c>
      <c r="AB9" s="12"/>
      <c r="AC9" s="12"/>
      <c r="AD9" s="8" t="s">
        <v>658</v>
      </c>
      <c r="AE9" s="8"/>
    </row>
    <row r="10" spans="1:31" x14ac:dyDescent="0.3">
      <c r="A10" s="4" t="s">
        <v>13</v>
      </c>
      <c r="B10" s="7">
        <v>6.7</v>
      </c>
      <c r="C10" s="7">
        <v>4.3</v>
      </c>
      <c r="D10" s="7">
        <v>2.4</v>
      </c>
      <c r="E10" s="7">
        <v>17.100000000000001</v>
      </c>
      <c r="F10" s="7">
        <v>2.1</v>
      </c>
      <c r="G10" s="12"/>
      <c r="H10" s="12"/>
      <c r="I10" s="7"/>
      <c r="J10" s="7"/>
      <c r="K10" s="7">
        <v>2.8</v>
      </c>
      <c r="L10" s="7">
        <v>18.399999999999999</v>
      </c>
      <c r="M10" s="7">
        <v>2.8</v>
      </c>
      <c r="N10" s="12"/>
      <c r="O10" s="12"/>
      <c r="P10" s="7">
        <v>16.100000000000001</v>
      </c>
      <c r="Q10" s="7"/>
      <c r="R10" s="7"/>
      <c r="S10" s="7"/>
      <c r="T10" s="7"/>
      <c r="U10" s="12"/>
      <c r="V10" s="12"/>
      <c r="W10" s="7">
        <v>3.12</v>
      </c>
      <c r="X10" s="7">
        <v>9.8000000000000007</v>
      </c>
      <c r="Y10" s="7">
        <v>5.6</v>
      </c>
      <c r="Z10" s="7">
        <v>1.2</v>
      </c>
      <c r="AA10" s="20">
        <v>4</v>
      </c>
      <c r="AB10" s="12"/>
      <c r="AC10" s="12"/>
      <c r="AD10" s="7">
        <v>2.8</v>
      </c>
      <c r="AE10" s="7"/>
    </row>
    <row r="11" spans="1:31" x14ac:dyDescent="0.3">
      <c r="A11" s="3" t="s">
        <v>1</v>
      </c>
      <c r="B11" s="8"/>
      <c r="C11" s="8" t="s">
        <v>659</v>
      </c>
      <c r="D11" s="8" t="s">
        <v>660</v>
      </c>
      <c r="E11" s="8" t="s">
        <v>661</v>
      </c>
      <c r="F11" s="8" t="s">
        <v>662</v>
      </c>
      <c r="G11" s="12"/>
      <c r="H11" s="12"/>
      <c r="I11" s="8"/>
      <c r="J11" s="8"/>
      <c r="K11" s="8"/>
      <c r="L11" s="8" t="s">
        <v>663</v>
      </c>
      <c r="M11" s="8" t="s">
        <v>664</v>
      </c>
      <c r="N11" s="12"/>
      <c r="O11" s="12"/>
      <c r="P11" s="8" t="s">
        <v>665</v>
      </c>
      <c r="Q11" s="8"/>
      <c r="R11" s="8"/>
      <c r="S11" s="8"/>
      <c r="T11" s="8"/>
      <c r="U11" s="12"/>
      <c r="V11" s="12"/>
      <c r="W11" s="8" t="s">
        <v>666</v>
      </c>
      <c r="X11" s="8" t="s">
        <v>667</v>
      </c>
      <c r="Y11" s="8" t="s">
        <v>668</v>
      </c>
      <c r="Z11" s="8"/>
      <c r="AA11" s="8" t="s">
        <v>669</v>
      </c>
      <c r="AB11" s="12"/>
      <c r="AC11" s="12"/>
      <c r="AD11" s="8"/>
      <c r="AE11" s="8"/>
    </row>
    <row r="12" spans="1:31" x14ac:dyDescent="0.3">
      <c r="A12" s="4" t="s">
        <v>13</v>
      </c>
      <c r="B12" s="7"/>
      <c r="C12" s="7">
        <v>4.16</v>
      </c>
      <c r="D12" s="7">
        <v>2.6</v>
      </c>
      <c r="E12" s="7">
        <v>5.6</v>
      </c>
      <c r="F12" s="7">
        <v>2.2000000000000002</v>
      </c>
      <c r="G12" s="12"/>
      <c r="H12" s="12"/>
      <c r="I12" s="7"/>
      <c r="J12" s="7"/>
      <c r="K12" s="7"/>
      <c r="L12" s="7">
        <v>4.3</v>
      </c>
      <c r="M12" s="7">
        <v>1.5</v>
      </c>
      <c r="N12" s="12"/>
      <c r="O12" s="12"/>
      <c r="P12" s="7">
        <v>1.9</v>
      </c>
      <c r="Q12" s="7"/>
      <c r="R12" s="7"/>
      <c r="S12" s="7"/>
      <c r="T12" s="7"/>
      <c r="U12" s="12"/>
      <c r="V12" s="12"/>
      <c r="W12" s="7">
        <v>2.4</v>
      </c>
      <c r="X12" s="7">
        <v>14.3</v>
      </c>
      <c r="Y12" s="7">
        <v>3.3</v>
      </c>
      <c r="Z12" s="7"/>
      <c r="AA12" s="7">
        <v>2.6</v>
      </c>
      <c r="AB12" s="12"/>
      <c r="AC12" s="12"/>
      <c r="AD12" s="65"/>
      <c r="AE12" s="7"/>
    </row>
    <row r="13" spans="1:31" x14ac:dyDescent="0.3">
      <c r="A13" s="3" t="s">
        <v>1</v>
      </c>
      <c r="B13" s="8"/>
      <c r="C13" s="82" t="s">
        <v>670</v>
      </c>
      <c r="D13" s="8"/>
      <c r="E13" s="8" t="s">
        <v>648</v>
      </c>
      <c r="F13" s="8"/>
      <c r="G13" s="12"/>
      <c r="H13" s="12"/>
      <c r="I13" s="8"/>
      <c r="J13" s="8"/>
      <c r="K13" s="8"/>
      <c r="L13" s="8"/>
      <c r="M13" s="8"/>
      <c r="N13" s="12"/>
      <c r="O13" s="12"/>
      <c r="P13" s="8"/>
      <c r="Q13" s="8"/>
      <c r="R13" s="8"/>
      <c r="S13" s="8"/>
      <c r="T13" s="8"/>
      <c r="U13" s="12"/>
      <c r="V13" s="12"/>
      <c r="W13" s="8"/>
      <c r="X13" s="8"/>
      <c r="Y13" s="8" t="s">
        <v>671</v>
      </c>
      <c r="Z13" s="19" t="s">
        <v>672</v>
      </c>
      <c r="AA13" s="8" t="s">
        <v>673</v>
      </c>
      <c r="AB13" s="12"/>
      <c r="AC13" s="12"/>
      <c r="AD13" s="8"/>
      <c r="AE13" s="8"/>
    </row>
    <row r="14" spans="1:31" x14ac:dyDescent="0.3">
      <c r="A14" s="4" t="s">
        <v>13</v>
      </c>
      <c r="B14" s="7"/>
      <c r="C14" s="83">
        <v>2.4</v>
      </c>
      <c r="D14" s="7"/>
      <c r="E14" s="7">
        <v>2.1</v>
      </c>
      <c r="F14" s="7"/>
      <c r="G14" s="12"/>
      <c r="H14" s="12"/>
      <c r="I14" s="7"/>
      <c r="J14" s="7"/>
      <c r="K14" s="7"/>
      <c r="L14" s="7"/>
      <c r="M14" s="7"/>
      <c r="N14" s="12"/>
      <c r="O14" s="12"/>
      <c r="P14" s="65"/>
      <c r="Q14" s="65"/>
      <c r="R14" s="7"/>
      <c r="S14" s="7"/>
      <c r="T14" s="7"/>
      <c r="U14" s="12"/>
      <c r="V14" s="12"/>
      <c r="W14" s="7"/>
      <c r="X14" s="7"/>
      <c r="Y14" s="7">
        <v>2.1</v>
      </c>
      <c r="Z14" s="20">
        <v>0.5</v>
      </c>
      <c r="AA14" s="65">
        <v>2.6</v>
      </c>
      <c r="AB14" s="12"/>
      <c r="AC14" s="12"/>
      <c r="AD14" s="7"/>
      <c r="AE14" s="7"/>
    </row>
    <row r="15" spans="1:31" x14ac:dyDescent="0.3">
      <c r="A15" s="3" t="s">
        <v>1</v>
      </c>
      <c r="B15" s="8"/>
      <c r="C15" s="8"/>
      <c r="D15" s="8"/>
      <c r="E15" s="8" t="s">
        <v>674</v>
      </c>
      <c r="F15" s="8"/>
      <c r="G15" s="12"/>
      <c r="H15" s="12"/>
      <c r="I15" s="8"/>
      <c r="J15" s="8"/>
      <c r="K15" s="8"/>
      <c r="L15" s="8"/>
      <c r="M15" s="8"/>
      <c r="N15" s="12"/>
      <c r="O15" s="12"/>
      <c r="P15" s="8"/>
      <c r="Q15" s="8"/>
      <c r="R15" s="8"/>
      <c r="S15" s="8"/>
      <c r="T15" s="8"/>
      <c r="U15" s="12"/>
      <c r="V15" s="12"/>
      <c r="W15" s="8" t="s">
        <v>675</v>
      </c>
      <c r="X15" s="8"/>
      <c r="Y15" s="8"/>
      <c r="Z15" s="8"/>
      <c r="AA15" s="8"/>
      <c r="AB15" s="12"/>
      <c r="AC15" s="12"/>
      <c r="AD15" s="8"/>
      <c r="AE15" s="8"/>
    </row>
    <row r="16" spans="1:31" x14ac:dyDescent="0.3">
      <c r="A16" s="4" t="s">
        <v>13</v>
      </c>
      <c r="B16" s="7"/>
      <c r="C16" s="7"/>
      <c r="D16" s="7"/>
      <c r="E16" s="7">
        <v>2.9</v>
      </c>
      <c r="F16" s="7"/>
      <c r="G16" s="12"/>
      <c r="H16" s="12"/>
      <c r="I16" s="7"/>
      <c r="J16" s="7"/>
      <c r="K16" s="7"/>
      <c r="L16" s="7"/>
      <c r="M16" s="7"/>
      <c r="N16" s="12"/>
      <c r="O16" s="12"/>
      <c r="P16" s="7"/>
      <c r="Q16" s="65"/>
      <c r="R16" s="65"/>
      <c r="S16" s="65"/>
      <c r="T16" s="65"/>
      <c r="U16" s="12"/>
      <c r="V16" s="12"/>
      <c r="W16" s="65">
        <v>1.5</v>
      </c>
      <c r="X16" s="65"/>
      <c r="Y16" s="65"/>
      <c r="Z16" s="65"/>
      <c r="AA16" s="65"/>
      <c r="AB16" s="12"/>
      <c r="AC16" s="12"/>
      <c r="AD16" s="7"/>
      <c r="AE16" s="7"/>
    </row>
    <row r="17" spans="1:31" x14ac:dyDescent="0.3">
      <c r="A17" s="3" t="s">
        <v>1</v>
      </c>
      <c r="B17" s="8"/>
      <c r="C17" s="8"/>
      <c r="D17" s="8"/>
      <c r="E17" s="8"/>
      <c r="F17" s="8"/>
      <c r="G17" s="12"/>
      <c r="H17" s="12"/>
      <c r="I17" s="8"/>
      <c r="J17" s="8"/>
      <c r="K17" s="8"/>
      <c r="L17" s="8"/>
      <c r="M17" s="8"/>
      <c r="N17" s="12"/>
      <c r="O17" s="12"/>
      <c r="P17" s="8"/>
      <c r="Q17" s="8"/>
      <c r="R17" s="8"/>
      <c r="S17" s="8"/>
      <c r="T17" s="8"/>
      <c r="U17" s="12"/>
      <c r="V17" s="12"/>
      <c r="W17" s="8"/>
      <c r="X17" s="8"/>
      <c r="Y17" s="8"/>
      <c r="Z17" s="8"/>
      <c r="AA17" s="8"/>
      <c r="AB17" s="12"/>
      <c r="AC17" s="12"/>
      <c r="AD17" s="8"/>
      <c r="AE17" s="8"/>
    </row>
    <row r="18" spans="1:31" x14ac:dyDescent="0.3">
      <c r="A18" s="4" t="s">
        <v>13</v>
      </c>
      <c r="B18" s="7"/>
      <c r="C18" s="7"/>
      <c r="D18" s="7"/>
      <c r="E18" s="7"/>
      <c r="F18" s="7"/>
      <c r="G18" s="12"/>
      <c r="H18" s="12"/>
      <c r="I18" s="7"/>
      <c r="J18" s="7"/>
      <c r="K18" s="7"/>
      <c r="L18" s="7"/>
      <c r="M18" s="7"/>
      <c r="N18" s="12"/>
      <c r="O18" s="12"/>
      <c r="P18" s="7"/>
      <c r="Q18" s="7"/>
      <c r="R18" s="7"/>
      <c r="S18" s="7"/>
      <c r="T18" s="7"/>
      <c r="U18" s="12"/>
      <c r="V18" s="12"/>
      <c r="W18" s="7"/>
      <c r="X18" s="7"/>
      <c r="Y18" s="7"/>
      <c r="Z18" s="7"/>
      <c r="AA18" s="7"/>
      <c r="AB18" s="12"/>
      <c r="AC18" s="12"/>
      <c r="AD18" s="7"/>
      <c r="AE18" s="7"/>
    </row>
    <row r="19" spans="1:31" x14ac:dyDescent="0.3">
      <c r="A19" s="3" t="s">
        <v>1</v>
      </c>
      <c r="B19" s="8"/>
      <c r="C19" s="8"/>
      <c r="D19" s="8"/>
      <c r="E19" s="8"/>
      <c r="F19" s="8"/>
      <c r="G19" s="12"/>
      <c r="H19" s="12"/>
      <c r="I19" s="8"/>
      <c r="J19" s="8"/>
      <c r="K19" s="8"/>
      <c r="L19" s="8"/>
      <c r="M19" s="8"/>
      <c r="N19" s="12"/>
      <c r="O19" s="12"/>
      <c r="P19" s="8"/>
      <c r="Q19" s="8"/>
      <c r="R19" s="8"/>
      <c r="S19" s="8"/>
      <c r="T19" s="8"/>
      <c r="U19" s="12"/>
      <c r="V19" s="12"/>
      <c r="W19" s="8"/>
      <c r="X19" s="8"/>
      <c r="Y19" s="8"/>
      <c r="Z19" s="8"/>
      <c r="AA19" s="8"/>
      <c r="AB19" s="12"/>
      <c r="AC19" s="12"/>
      <c r="AD19" s="8"/>
      <c r="AE19" s="8"/>
    </row>
    <row r="20" spans="1:31" x14ac:dyDescent="0.3">
      <c r="A20" s="4" t="s">
        <v>13</v>
      </c>
      <c r="B20" s="7"/>
      <c r="C20" s="7"/>
      <c r="D20" s="7"/>
      <c r="E20" s="7"/>
      <c r="F20" s="7"/>
      <c r="G20" s="12"/>
      <c r="H20" s="12"/>
      <c r="I20" s="7"/>
      <c r="J20" s="7"/>
      <c r="K20" s="7"/>
      <c r="L20" s="7"/>
      <c r="M20" s="7"/>
      <c r="N20" s="12"/>
      <c r="O20" s="12"/>
      <c r="P20" s="7"/>
      <c r="Q20" s="7"/>
      <c r="R20" s="7"/>
      <c r="S20" s="7"/>
      <c r="T20" s="7"/>
      <c r="U20" s="12"/>
      <c r="V20" s="12"/>
      <c r="W20" s="7"/>
      <c r="X20" s="7"/>
      <c r="Y20" s="7"/>
      <c r="Z20" s="7"/>
      <c r="AA20" s="7"/>
      <c r="AB20" s="12"/>
      <c r="AC20" s="12"/>
      <c r="AD20" s="7"/>
      <c r="AE20" s="7"/>
    </row>
    <row r="21" spans="1:31" x14ac:dyDescent="0.3">
      <c r="A21" s="3" t="s">
        <v>1</v>
      </c>
      <c r="B21" s="8"/>
      <c r="C21" s="8"/>
      <c r="D21" s="8"/>
      <c r="E21" s="8"/>
      <c r="F21" s="8"/>
      <c r="G21" s="12"/>
      <c r="H21" s="12"/>
      <c r="I21" s="8"/>
      <c r="J21" s="8"/>
      <c r="K21" s="8"/>
      <c r="L21" s="8"/>
      <c r="M21" s="8"/>
      <c r="N21" s="12"/>
      <c r="O21" s="12"/>
      <c r="P21" s="8"/>
      <c r="Q21" s="8"/>
      <c r="R21" s="8"/>
      <c r="S21" s="8"/>
      <c r="T21" s="8"/>
      <c r="U21" s="12"/>
      <c r="V21" s="12"/>
      <c r="W21" s="8"/>
      <c r="X21" s="8"/>
      <c r="Y21" s="8"/>
      <c r="Z21" s="8"/>
      <c r="AA21" s="8"/>
      <c r="AB21" s="12"/>
      <c r="AC21" s="12"/>
      <c r="AD21" s="8"/>
      <c r="AE21" s="8"/>
    </row>
    <row r="22" spans="1:31" x14ac:dyDescent="0.3">
      <c r="A22" s="4" t="s">
        <v>13</v>
      </c>
      <c r="B22" s="7"/>
      <c r="C22" s="7"/>
      <c r="D22" s="7"/>
      <c r="E22" s="7"/>
      <c r="F22" s="7"/>
      <c r="G22" s="12"/>
      <c r="H22" s="12"/>
      <c r="I22" s="7"/>
      <c r="J22" s="7"/>
      <c r="K22" s="7"/>
      <c r="L22" s="7"/>
      <c r="M22" s="7"/>
      <c r="N22" s="12"/>
      <c r="O22" s="12"/>
      <c r="P22" s="7"/>
      <c r="Q22" s="7"/>
      <c r="R22" s="7"/>
      <c r="S22" s="7"/>
      <c r="T22" s="7"/>
      <c r="U22" s="12"/>
      <c r="V22" s="12"/>
      <c r="W22" s="7"/>
      <c r="X22" s="7"/>
      <c r="Y22" s="7"/>
      <c r="Z22" s="7"/>
      <c r="AA22" s="7"/>
      <c r="AB22" s="12"/>
      <c r="AC22" s="12"/>
      <c r="AD22" s="7"/>
      <c r="AE22" s="7"/>
    </row>
    <row r="23" spans="1:31" x14ac:dyDescent="0.3">
      <c r="A23" s="3" t="s">
        <v>1</v>
      </c>
      <c r="B23" s="8"/>
      <c r="C23" s="8"/>
      <c r="D23" s="8"/>
      <c r="E23" s="8"/>
      <c r="F23" s="8"/>
      <c r="G23" s="12"/>
      <c r="H23" s="12"/>
      <c r="I23" s="8"/>
      <c r="J23" s="8"/>
      <c r="K23" s="8"/>
      <c r="L23" s="8"/>
      <c r="M23" s="8"/>
      <c r="N23" s="12"/>
      <c r="O23" s="12"/>
      <c r="P23" s="8"/>
      <c r="Q23" s="8"/>
      <c r="R23" s="8"/>
      <c r="S23" s="8"/>
      <c r="T23" s="8"/>
      <c r="U23" s="12"/>
      <c r="V23" s="12"/>
      <c r="W23" s="8"/>
      <c r="X23" s="8"/>
      <c r="Y23" s="8"/>
      <c r="Z23" s="8"/>
      <c r="AA23" s="8"/>
      <c r="AB23" s="12"/>
      <c r="AC23" s="12"/>
      <c r="AD23" s="8"/>
      <c r="AE23" s="8"/>
    </row>
    <row r="24" spans="1:31" x14ac:dyDescent="0.3">
      <c r="A24" s="4" t="s">
        <v>13</v>
      </c>
      <c r="B24" s="7"/>
      <c r="C24" s="7"/>
      <c r="D24" s="7"/>
      <c r="E24" s="7"/>
      <c r="F24" s="7"/>
      <c r="G24" s="12"/>
      <c r="H24" s="12"/>
      <c r="I24" s="7"/>
      <c r="J24" s="7"/>
      <c r="K24" s="7"/>
      <c r="L24" s="7"/>
      <c r="M24" s="7"/>
      <c r="N24" s="12"/>
      <c r="O24" s="12"/>
      <c r="P24" s="7"/>
      <c r="Q24" s="7"/>
      <c r="R24" s="7"/>
      <c r="S24" s="7"/>
      <c r="T24" s="7"/>
      <c r="U24" s="12"/>
      <c r="V24" s="12"/>
      <c r="W24" s="7"/>
      <c r="X24" s="7"/>
      <c r="Y24" s="7"/>
      <c r="Z24" s="7"/>
      <c r="AA24" s="7"/>
      <c r="AB24" s="12"/>
      <c r="AC24" s="12"/>
      <c r="AD24" s="7"/>
      <c r="AE24" s="7"/>
    </row>
    <row r="25" spans="1:31" x14ac:dyDescent="0.3">
      <c r="A25" s="3" t="s">
        <v>1</v>
      </c>
      <c r="B25" s="8"/>
      <c r="C25" s="8"/>
      <c r="D25" s="8"/>
      <c r="E25" s="8"/>
      <c r="F25" s="8"/>
      <c r="G25" s="12"/>
      <c r="H25" s="12"/>
      <c r="I25" s="8"/>
      <c r="J25" s="8"/>
      <c r="K25" s="8"/>
      <c r="L25" s="8"/>
      <c r="M25" s="8"/>
      <c r="N25" s="12"/>
      <c r="O25" s="12"/>
      <c r="P25" s="8"/>
      <c r="Q25" s="8"/>
      <c r="R25" s="8"/>
      <c r="S25" s="8"/>
      <c r="T25" s="8"/>
      <c r="U25" s="12"/>
      <c r="V25" s="12"/>
      <c r="W25" s="8"/>
      <c r="X25" s="8"/>
      <c r="Y25" s="8"/>
      <c r="Z25" s="8"/>
      <c r="AA25" s="8"/>
      <c r="AB25" s="12"/>
      <c r="AC25" s="12"/>
      <c r="AD25" s="8"/>
      <c r="AE25" s="8"/>
    </row>
    <row r="26" spans="1:31" x14ac:dyDescent="0.3">
      <c r="A26" s="4" t="s">
        <v>13</v>
      </c>
      <c r="B26" s="7"/>
      <c r="C26" s="7"/>
      <c r="D26" s="7"/>
      <c r="E26" s="7"/>
      <c r="F26" s="7"/>
      <c r="G26" s="12"/>
      <c r="H26" s="12"/>
      <c r="I26" s="7"/>
      <c r="J26" s="7"/>
      <c r="K26" s="7"/>
      <c r="L26" s="7"/>
      <c r="M26" s="7"/>
      <c r="N26" s="12"/>
      <c r="O26" s="12"/>
      <c r="P26" s="7"/>
      <c r="Q26" s="7"/>
      <c r="R26" s="7"/>
      <c r="S26" s="7"/>
      <c r="T26" s="7"/>
      <c r="U26" s="12"/>
      <c r="V26" s="12"/>
      <c r="W26" s="7"/>
      <c r="X26" s="7"/>
      <c r="Y26" s="7"/>
      <c r="Z26" s="7"/>
      <c r="AA26" s="7"/>
      <c r="AB26" s="12"/>
      <c r="AC26" s="12"/>
      <c r="AD26" s="7"/>
      <c r="AE26" s="7"/>
    </row>
    <row r="27" spans="1:31" x14ac:dyDescent="0.3">
      <c r="A27" s="3" t="s">
        <v>1</v>
      </c>
      <c r="B27" s="8"/>
      <c r="C27" s="8"/>
      <c r="D27" s="8"/>
      <c r="E27" s="8"/>
      <c r="F27" s="8"/>
      <c r="G27" s="12"/>
      <c r="H27" s="12"/>
      <c r="I27" s="8"/>
      <c r="J27" s="8"/>
      <c r="K27" s="8"/>
      <c r="L27" s="8"/>
      <c r="M27" s="8"/>
      <c r="N27" s="12"/>
      <c r="O27" s="12"/>
      <c r="P27" s="8"/>
      <c r="Q27" s="8"/>
      <c r="R27" s="8"/>
      <c r="S27" s="8"/>
      <c r="T27" s="8"/>
      <c r="U27" s="12"/>
      <c r="V27" s="12"/>
      <c r="W27" s="8"/>
      <c r="X27" s="8"/>
      <c r="Y27" s="8"/>
      <c r="Z27" s="8"/>
      <c r="AA27" s="8"/>
      <c r="AB27" s="12"/>
      <c r="AC27" s="12"/>
      <c r="AD27" s="8"/>
      <c r="AE27" s="8"/>
    </row>
    <row r="28" spans="1:31" x14ac:dyDescent="0.3">
      <c r="A28" s="4" t="s">
        <v>13</v>
      </c>
      <c r="B28" s="7"/>
      <c r="C28" s="7"/>
      <c r="D28" s="7"/>
      <c r="E28" s="7"/>
      <c r="F28" s="7"/>
      <c r="G28" s="12"/>
      <c r="H28" s="12"/>
      <c r="I28" s="7"/>
      <c r="J28" s="7"/>
      <c r="K28" s="7"/>
      <c r="L28" s="7"/>
      <c r="M28" s="7"/>
      <c r="N28" s="12"/>
      <c r="O28" s="12"/>
      <c r="P28" s="7"/>
      <c r="Q28" s="7"/>
      <c r="R28" s="7"/>
      <c r="S28" s="7"/>
      <c r="T28" s="7"/>
      <c r="U28" s="12"/>
      <c r="V28" s="12"/>
      <c r="W28" s="7"/>
      <c r="X28" s="7"/>
      <c r="Y28" s="7"/>
      <c r="Z28" s="7"/>
      <c r="AA28" s="7"/>
      <c r="AB28" s="12"/>
      <c r="AC28" s="12"/>
      <c r="AD28" s="7"/>
      <c r="AE28" s="7"/>
    </row>
    <row r="29" spans="1:31" x14ac:dyDescent="0.3">
      <c r="A29" s="3" t="s">
        <v>1</v>
      </c>
      <c r="B29" s="8"/>
      <c r="C29" s="8"/>
      <c r="D29" s="8"/>
      <c r="E29" s="8"/>
      <c r="F29" s="8"/>
      <c r="G29" s="12"/>
      <c r="H29" s="12"/>
      <c r="I29" s="8"/>
      <c r="J29" s="8"/>
      <c r="K29" s="8"/>
      <c r="L29" s="8"/>
      <c r="M29" s="8"/>
      <c r="N29" s="12"/>
      <c r="O29" s="12"/>
      <c r="P29" s="8"/>
      <c r="Q29" s="8"/>
      <c r="R29" s="8"/>
      <c r="S29" s="8"/>
      <c r="T29" s="8"/>
      <c r="U29" s="12"/>
      <c r="V29" s="12"/>
      <c r="W29" s="8"/>
      <c r="X29" s="8"/>
      <c r="Y29" s="8"/>
      <c r="Z29" s="8"/>
      <c r="AA29" s="8"/>
      <c r="AB29" s="12"/>
      <c r="AC29" s="12"/>
      <c r="AD29" s="8"/>
      <c r="AE29" s="8"/>
    </row>
    <row r="30" spans="1:31" x14ac:dyDescent="0.3">
      <c r="A30" s="4" t="s">
        <v>13</v>
      </c>
      <c r="B30" s="7"/>
      <c r="C30" s="7"/>
      <c r="D30" s="7"/>
      <c r="E30" s="7"/>
      <c r="F30" s="7"/>
      <c r="G30" s="12"/>
      <c r="H30" s="12"/>
      <c r="I30" s="7"/>
      <c r="J30" s="7"/>
      <c r="K30" s="7"/>
      <c r="L30" s="7"/>
      <c r="M30" s="7"/>
      <c r="N30" s="12"/>
      <c r="O30" s="12"/>
      <c r="P30" s="7"/>
      <c r="Q30" s="7"/>
      <c r="R30" s="7"/>
      <c r="S30" s="7"/>
      <c r="T30" s="7"/>
      <c r="U30" s="12"/>
      <c r="V30" s="12"/>
      <c r="W30" s="7"/>
      <c r="X30" s="7"/>
      <c r="Y30" s="7"/>
      <c r="Z30" s="7"/>
      <c r="AA30" s="7"/>
      <c r="AB30" s="12"/>
      <c r="AC30" s="12"/>
      <c r="AD30" s="7"/>
      <c r="AE30" s="7"/>
    </row>
    <row r="31" spans="1:31" x14ac:dyDescent="0.3">
      <c r="A31" s="3" t="s">
        <v>1</v>
      </c>
      <c r="B31" s="8"/>
      <c r="C31" s="8"/>
      <c r="D31" s="8"/>
      <c r="E31" s="8"/>
      <c r="F31" s="8"/>
      <c r="G31" s="12"/>
      <c r="H31" s="12"/>
      <c r="I31" s="8"/>
      <c r="J31" s="8"/>
      <c r="K31" s="8"/>
      <c r="L31" s="8"/>
      <c r="M31" s="8"/>
      <c r="N31" s="12"/>
      <c r="O31" s="12"/>
      <c r="P31" s="8"/>
      <c r="Q31" s="8"/>
      <c r="R31" s="8"/>
      <c r="S31" s="8"/>
      <c r="T31" s="8"/>
      <c r="U31" s="12"/>
      <c r="V31" s="12"/>
      <c r="W31" s="8"/>
      <c r="X31" s="8"/>
      <c r="Y31" s="8"/>
      <c r="Z31" s="8"/>
      <c r="AA31" s="8"/>
      <c r="AB31" s="12"/>
      <c r="AC31" s="12"/>
      <c r="AD31" s="8"/>
      <c r="AE31" s="8"/>
    </row>
    <row r="32" spans="1:31" x14ac:dyDescent="0.3">
      <c r="A32" s="4" t="s">
        <v>13</v>
      </c>
      <c r="B32" s="7"/>
      <c r="C32" s="7"/>
      <c r="D32" s="7"/>
      <c r="E32" s="7"/>
      <c r="F32" s="7"/>
      <c r="G32" s="12"/>
      <c r="H32" s="12"/>
      <c r="I32" s="7"/>
      <c r="J32" s="7"/>
      <c r="K32" s="7"/>
      <c r="L32" s="7"/>
      <c r="M32" s="7"/>
      <c r="N32" s="12"/>
      <c r="O32" s="12"/>
      <c r="P32" s="7"/>
      <c r="Q32" s="7"/>
      <c r="R32" s="7"/>
      <c r="S32" s="7"/>
      <c r="T32" s="7"/>
      <c r="U32" s="12"/>
      <c r="V32" s="12"/>
      <c r="W32" s="7"/>
      <c r="X32" s="7"/>
      <c r="Y32" s="7"/>
      <c r="Z32" s="7"/>
      <c r="AA32" s="7"/>
      <c r="AB32" s="12"/>
      <c r="AC32" s="12"/>
      <c r="AD32" s="7"/>
      <c r="AE32" s="7"/>
    </row>
    <row r="33" spans="1:31" x14ac:dyDescent="0.3">
      <c r="A33" s="9" t="s">
        <v>59</v>
      </c>
      <c r="B33" s="14">
        <f t="shared" ref="B33" si="1">39.1-B4-B6-B8-B10-B12-B14-B16-B18-B20-B22-B24-B26-B28-B30-B32</f>
        <v>8.8817841970012523E-16</v>
      </c>
      <c r="C33" s="10">
        <f>38.55-C4-C6-C8-C10-C12-C14-C16-C18-C20-C22-C24-C26-C28-C30-C32</f>
        <v>2.9899999999999971</v>
      </c>
      <c r="D33" s="10">
        <f t="shared" ref="D33:AE33" si="2">38.55-D4-D6-D8-D10-D12-D14-D16-D18-D20-D22-D24-D26-D28-D30-D32</f>
        <v>18.749999999999996</v>
      </c>
      <c r="E33" s="10">
        <f t="shared" si="2"/>
        <v>3.1100000000000017</v>
      </c>
      <c r="F33" s="10">
        <f t="shared" si="2"/>
        <v>22.049999999999994</v>
      </c>
      <c r="G33" s="14">
        <f t="shared" si="2"/>
        <v>38.549999999999997</v>
      </c>
      <c r="H33" s="14">
        <f t="shared" si="2"/>
        <v>38.549999999999997</v>
      </c>
      <c r="I33" s="10">
        <f t="shared" si="2"/>
        <v>0.6499999999999968</v>
      </c>
      <c r="J33" s="10">
        <f t="shared" si="2"/>
        <v>29.149999999999995</v>
      </c>
      <c r="K33" s="10">
        <f t="shared" si="2"/>
        <v>21.829999999999995</v>
      </c>
      <c r="L33" s="10">
        <f>38.55-L4-L6-L8-L10-L12-L14-L16-L18-L20-L22-L24-L26-L28-L30-L32</f>
        <v>3.9499999999999966</v>
      </c>
      <c r="M33" s="10">
        <f t="shared" si="2"/>
        <v>19.189999999999994</v>
      </c>
      <c r="N33" s="14">
        <f t="shared" si="2"/>
        <v>38.549999999999997</v>
      </c>
      <c r="O33" s="14">
        <f t="shared" si="2"/>
        <v>38.549999999999997</v>
      </c>
      <c r="P33" s="10">
        <f t="shared" si="2"/>
        <v>12.949999999999994</v>
      </c>
      <c r="Q33" s="14">
        <f>38.55-Q4-Q6-Q8-Q10-Q12-Q14-Q16-Q18-Q20-Q22-Q24-Q26-Q28-Q30-Q32</f>
        <v>4.9999999999997158E-2</v>
      </c>
      <c r="R33" s="14">
        <f t="shared" si="2"/>
        <v>4.9999999999997158E-2</v>
      </c>
      <c r="S33" s="10">
        <f t="shared" si="2"/>
        <v>0.75</v>
      </c>
      <c r="T33" s="14">
        <f t="shared" si="2"/>
        <v>4.9999999999997158E-2</v>
      </c>
      <c r="U33" s="14">
        <f t="shared" si="2"/>
        <v>38.549999999999997</v>
      </c>
      <c r="V33" s="14">
        <f t="shared" si="2"/>
        <v>38.549999999999997</v>
      </c>
      <c r="W33" s="10">
        <f t="shared" si="2"/>
        <v>4.4299999999999979</v>
      </c>
      <c r="X33" s="14">
        <f t="shared" si="2"/>
        <v>-2.0000000000006679E-2</v>
      </c>
      <c r="Y33" s="14">
        <f t="shared" si="2"/>
        <v>4.9999999999994049E-2</v>
      </c>
      <c r="Z33" s="14">
        <f t="shared" si="2"/>
        <v>1.9999999999997131E-2</v>
      </c>
      <c r="AA33" s="10">
        <f t="shared" si="2"/>
        <v>5.1499999999999968</v>
      </c>
      <c r="AB33" s="14">
        <f t="shared" si="2"/>
        <v>38.549999999999997</v>
      </c>
      <c r="AC33" s="14">
        <f t="shared" si="2"/>
        <v>38.549999999999997</v>
      </c>
      <c r="AD33" s="10">
        <f t="shared" si="2"/>
        <v>30.749999999999996</v>
      </c>
      <c r="AE33" s="14">
        <f t="shared" si="2"/>
        <v>4.9999999999997158E-2</v>
      </c>
    </row>
  </sheetData>
  <conditionalFormatting sqref="B2:AE2">
    <cfRule type="cellIs" dxfId="7" priority="1" operator="equal">
      <formula>40</formula>
    </cfRule>
    <cfRule type="cellIs" dxfId="6" priority="2" operator="greater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2543-3F7D-4B73-B762-D51E0E069EB2}">
  <dimension ref="A1:AF35"/>
  <sheetViews>
    <sheetView tabSelected="1" topLeftCell="E1" workbookViewId="0">
      <selection activeCell="AF33" sqref="AF33"/>
    </sheetView>
  </sheetViews>
  <sheetFormatPr defaultRowHeight="14.4" x14ac:dyDescent="0.3"/>
  <cols>
    <col min="1" max="1" width="16" bestFit="1" customWidth="1"/>
    <col min="2" max="2" width="9.77734375" customWidth="1"/>
    <col min="3" max="3" width="9.44140625" bestFit="1" customWidth="1"/>
    <col min="8" max="9" width="9.44140625" bestFit="1" customWidth="1"/>
    <col min="11" max="11" width="9.44140625" bestFit="1" customWidth="1"/>
    <col min="16" max="18" width="9.44140625" bestFit="1" customWidth="1"/>
    <col min="22" max="22" width="9.44140625" bestFit="1" customWidth="1"/>
    <col min="25" max="25" width="9.33203125" bestFit="1" customWidth="1"/>
    <col min="31" max="31" width="9.33203125" bestFit="1" customWidth="1"/>
  </cols>
  <sheetData>
    <row r="1" spans="1:32" x14ac:dyDescent="0.3">
      <c r="A1" s="3"/>
      <c r="B1" s="6">
        <v>45931</v>
      </c>
      <c r="C1" s="6">
        <v>45932</v>
      </c>
      <c r="D1" s="6">
        <v>45933</v>
      </c>
      <c r="E1" s="11">
        <v>45934</v>
      </c>
      <c r="F1" s="11">
        <v>45935</v>
      </c>
      <c r="G1" s="6">
        <v>45936</v>
      </c>
      <c r="H1" s="6">
        <v>45937</v>
      </c>
      <c r="I1" s="6">
        <v>45938</v>
      </c>
      <c r="J1" s="6">
        <v>45939</v>
      </c>
      <c r="K1" s="6">
        <v>45940</v>
      </c>
      <c r="L1" s="11">
        <v>45941</v>
      </c>
      <c r="M1" s="11">
        <v>45942</v>
      </c>
      <c r="N1" s="6">
        <v>45943</v>
      </c>
      <c r="O1" s="6">
        <v>45944</v>
      </c>
      <c r="P1" s="6">
        <v>45945</v>
      </c>
      <c r="Q1" s="6">
        <v>45946</v>
      </c>
      <c r="R1" s="6">
        <v>45947</v>
      </c>
      <c r="S1" s="11">
        <v>45948</v>
      </c>
      <c r="T1" s="11">
        <v>45949</v>
      </c>
      <c r="U1" s="6">
        <v>45950</v>
      </c>
      <c r="V1" s="6">
        <v>45951</v>
      </c>
      <c r="W1" s="6">
        <v>45952</v>
      </c>
      <c r="X1" s="6">
        <v>45953</v>
      </c>
      <c r="Y1" s="6">
        <v>45954</v>
      </c>
      <c r="Z1" s="11">
        <v>45955</v>
      </c>
      <c r="AA1" s="11">
        <v>45956</v>
      </c>
      <c r="AB1" s="51">
        <v>45957</v>
      </c>
      <c r="AC1" s="6">
        <v>45958</v>
      </c>
      <c r="AD1" s="6">
        <v>45959</v>
      </c>
      <c r="AE1" s="6">
        <v>45960</v>
      </c>
      <c r="AF1" s="6">
        <v>45961</v>
      </c>
    </row>
    <row r="2" spans="1:32" x14ac:dyDescent="0.3">
      <c r="A2" s="1" t="s">
        <v>0</v>
      </c>
      <c r="B2" s="2">
        <f>B4+B6+B8+B10+B12+B14+B16+B18+B20+B22+B24+B26+B28+B30+B32</f>
        <v>23.3</v>
      </c>
      <c r="C2" s="2">
        <f>C4+C6+C8+C10+C12+C14+C16+C18+C20+C22+C24+C26+C28+C30+C32</f>
        <v>31.8</v>
      </c>
      <c r="D2" s="2">
        <f t="shared" ref="D2:AF2" si="0">D4+D6+D8+D10+D12+D14+D16+D18+D20+D22+D24+D26+D28+D30+D32</f>
        <v>30.77</v>
      </c>
      <c r="E2" s="12">
        <f t="shared" si="0"/>
        <v>0</v>
      </c>
      <c r="F2" s="12">
        <f t="shared" si="0"/>
        <v>0</v>
      </c>
      <c r="G2" s="2">
        <f t="shared" si="0"/>
        <v>31.8</v>
      </c>
      <c r="H2" s="2">
        <f t="shared" si="0"/>
        <v>31.799999999999997</v>
      </c>
      <c r="I2" s="2">
        <f t="shared" si="0"/>
        <v>31.799999999999997</v>
      </c>
      <c r="J2" s="2">
        <f t="shared" si="0"/>
        <v>31.8</v>
      </c>
      <c r="K2" s="2">
        <f t="shared" si="0"/>
        <v>31.799999999999997</v>
      </c>
      <c r="L2" s="12">
        <f t="shared" si="0"/>
        <v>0</v>
      </c>
      <c r="M2" s="12">
        <f t="shared" si="0"/>
        <v>0</v>
      </c>
      <c r="N2" s="2">
        <f>N4+N6+N8+N10+N12+N14+N16+N18+N20+N22+N24+N26+N28+N30+N32</f>
        <v>31.799999999999997</v>
      </c>
      <c r="O2" s="2">
        <f t="shared" si="0"/>
        <v>31.849999999999998</v>
      </c>
      <c r="P2" s="2">
        <f t="shared" si="0"/>
        <v>31.799999999999997</v>
      </c>
      <c r="Q2" s="2">
        <f t="shared" si="0"/>
        <v>31.840000000000003</v>
      </c>
      <c r="R2" s="2">
        <f t="shared" si="0"/>
        <v>31.8</v>
      </c>
      <c r="S2" s="12">
        <f>S4+S6+S8+S10+S12+S14+S16+S18+S20+S22+S24+S26+S28+S30+S32</f>
        <v>0</v>
      </c>
      <c r="T2" s="12">
        <f>T4+T6+T8+T10+T12+T14+T16+T18+T20+T22+T24+T26+T28+T30+T32</f>
        <v>0</v>
      </c>
      <c r="U2" s="2">
        <f t="shared" si="0"/>
        <v>31.799999999999997</v>
      </c>
      <c r="V2" s="2">
        <f t="shared" si="0"/>
        <v>16.850000000000001</v>
      </c>
      <c r="W2" s="2">
        <f t="shared" si="0"/>
        <v>28.17</v>
      </c>
      <c r="X2" s="2">
        <f t="shared" si="0"/>
        <v>28.42</v>
      </c>
      <c r="Y2" s="2">
        <f t="shared" si="0"/>
        <v>27.97</v>
      </c>
      <c r="Z2" s="12">
        <f t="shared" si="0"/>
        <v>0</v>
      </c>
      <c r="AA2" s="12">
        <f>AA4+AA6+AA8+AA10+AA12+AA14+AA16+AA18+AA20+AA22+AA24+AA26+AA28+AA30+AA32</f>
        <v>0</v>
      </c>
      <c r="AB2" s="52">
        <f t="shared" si="0"/>
        <v>0</v>
      </c>
      <c r="AC2" s="2">
        <f t="shared" si="0"/>
        <v>6.5</v>
      </c>
      <c r="AD2" s="2">
        <f t="shared" si="0"/>
        <v>12.1</v>
      </c>
      <c r="AE2" s="2">
        <f t="shared" si="0"/>
        <v>25</v>
      </c>
      <c r="AF2" s="2">
        <f t="shared" si="0"/>
        <v>35.200000000000003</v>
      </c>
    </row>
    <row r="3" spans="1:32" x14ac:dyDescent="0.3">
      <c r="A3" s="3" t="s">
        <v>1</v>
      </c>
      <c r="B3" s="8"/>
      <c r="C3" s="8" t="s">
        <v>676</v>
      </c>
      <c r="D3" s="8" t="s">
        <v>677</v>
      </c>
      <c r="E3" s="12"/>
      <c r="F3" s="12"/>
      <c r="G3" s="89" t="s">
        <v>2</v>
      </c>
      <c r="H3" s="19" t="s">
        <v>678</v>
      </c>
      <c r="I3" t="s">
        <v>679</v>
      </c>
      <c r="J3" s="8" t="s">
        <v>680</v>
      </c>
      <c r="K3" s="8" t="s">
        <v>681</v>
      </c>
      <c r="L3" s="12"/>
      <c r="M3" s="12"/>
      <c r="N3" s="89" t="s">
        <v>2</v>
      </c>
      <c r="O3" s="8" t="s">
        <v>682</v>
      </c>
      <c r="P3" s="8" t="s">
        <v>683</v>
      </c>
      <c r="Q3" s="19" t="s">
        <v>684</v>
      </c>
      <c r="R3" s="8" t="s">
        <v>685</v>
      </c>
      <c r="S3" s="12"/>
      <c r="T3" s="12"/>
      <c r="U3" s="89" t="s">
        <v>2</v>
      </c>
      <c r="V3" s="8" t="s">
        <v>686</v>
      </c>
      <c r="W3" s="8" t="s">
        <v>687</v>
      </c>
      <c r="X3" s="8" t="s">
        <v>688</v>
      </c>
      <c r="Y3" s="8" t="s">
        <v>689</v>
      </c>
      <c r="Z3" s="12"/>
      <c r="AA3" s="12"/>
      <c r="AB3" s="52"/>
      <c r="AC3" s="89" t="s">
        <v>2</v>
      </c>
      <c r="AD3" s="8"/>
      <c r="AE3" s="19" t="s">
        <v>923</v>
      </c>
      <c r="AF3" s="8" t="s">
        <v>908</v>
      </c>
    </row>
    <row r="4" spans="1:32" x14ac:dyDescent="0.3">
      <c r="A4" s="4" t="s">
        <v>13</v>
      </c>
      <c r="B4" s="7"/>
      <c r="C4" s="7">
        <v>14.4</v>
      </c>
      <c r="D4" s="7">
        <v>5.0999999999999996</v>
      </c>
      <c r="E4" s="12"/>
      <c r="F4" s="12"/>
      <c r="G4" s="90">
        <v>16</v>
      </c>
      <c r="H4" s="20">
        <v>13.1</v>
      </c>
      <c r="I4" s="7">
        <v>11.2</v>
      </c>
      <c r="J4" s="7">
        <v>4.5</v>
      </c>
      <c r="K4" s="7">
        <v>9.1</v>
      </c>
      <c r="L4" s="12"/>
      <c r="M4" s="12"/>
      <c r="N4" s="90">
        <v>9.6</v>
      </c>
      <c r="O4" s="7">
        <v>12.1</v>
      </c>
      <c r="P4" s="7">
        <v>5.2</v>
      </c>
      <c r="Q4" s="20">
        <v>21.1</v>
      </c>
      <c r="R4" s="7">
        <v>3.3</v>
      </c>
      <c r="S4" s="12"/>
      <c r="T4" s="12"/>
      <c r="U4" s="90">
        <v>0</v>
      </c>
      <c r="V4" s="7">
        <v>11.4</v>
      </c>
      <c r="W4" s="7">
        <v>5.2</v>
      </c>
      <c r="X4" s="7">
        <v>5.3</v>
      </c>
      <c r="Y4" s="7">
        <v>10.4</v>
      </c>
      <c r="Z4" s="12"/>
      <c r="AA4" s="12"/>
      <c r="AB4" s="52"/>
      <c r="AC4" s="90">
        <v>0</v>
      </c>
      <c r="AD4" s="7"/>
      <c r="AE4" s="20">
        <v>8</v>
      </c>
      <c r="AF4" s="7">
        <v>4</v>
      </c>
    </row>
    <row r="5" spans="1:32" x14ac:dyDescent="0.3">
      <c r="A5" s="3" t="s">
        <v>1</v>
      </c>
      <c r="B5" s="8"/>
      <c r="C5" s="19" t="s">
        <v>691</v>
      </c>
      <c r="D5" s="8" t="s">
        <v>692</v>
      </c>
      <c r="E5" s="12"/>
      <c r="F5" s="12"/>
      <c r="G5" s="91" t="s">
        <v>14</v>
      </c>
      <c r="H5" s="8" t="s">
        <v>693</v>
      </c>
      <c r="I5" t="s">
        <v>694</v>
      </c>
      <c r="J5" s="8" t="s">
        <v>695</v>
      </c>
      <c r="K5" s="8" t="s">
        <v>696</v>
      </c>
      <c r="L5" s="12"/>
      <c r="M5" s="12"/>
      <c r="N5" s="91" t="s">
        <v>14</v>
      </c>
      <c r="O5" s="8" t="s">
        <v>697</v>
      </c>
      <c r="P5" s="19" t="s">
        <v>698</v>
      </c>
      <c r="Q5" s="8" t="s">
        <v>699</v>
      </c>
      <c r="R5" s="8" t="s">
        <v>700</v>
      </c>
      <c r="S5" s="12"/>
      <c r="T5" s="12"/>
      <c r="U5" s="91" t="s">
        <v>14</v>
      </c>
      <c r="V5" s="8" t="s">
        <v>701</v>
      </c>
      <c r="W5" s="8" t="s">
        <v>702</v>
      </c>
      <c r="X5" s="8" t="s">
        <v>703</v>
      </c>
      <c r="Y5" s="8" t="s">
        <v>899</v>
      </c>
      <c r="Z5" s="12"/>
      <c r="AA5" s="12"/>
      <c r="AB5" s="52"/>
      <c r="AC5" s="91" t="s">
        <v>14</v>
      </c>
      <c r="AD5" s="8" t="s">
        <v>922</v>
      </c>
      <c r="AE5" s="86" t="s">
        <v>924</v>
      </c>
      <c r="AF5" s="8" t="s">
        <v>911</v>
      </c>
    </row>
    <row r="6" spans="1:32" x14ac:dyDescent="0.3">
      <c r="A6" s="4" t="s">
        <v>13</v>
      </c>
      <c r="B6" s="7"/>
      <c r="C6" s="20">
        <v>4.9000000000000004</v>
      </c>
      <c r="D6" s="7">
        <v>18.399999999999999</v>
      </c>
      <c r="E6" s="12"/>
      <c r="F6" s="12"/>
      <c r="G6" s="92">
        <v>5</v>
      </c>
      <c r="H6" s="7">
        <v>18.7</v>
      </c>
      <c r="I6" s="7">
        <v>13.8</v>
      </c>
      <c r="J6" s="7">
        <v>2.8</v>
      </c>
      <c r="K6" s="7">
        <v>16.2</v>
      </c>
      <c r="L6" s="12"/>
      <c r="M6" s="12"/>
      <c r="N6" s="92">
        <v>5</v>
      </c>
      <c r="O6" s="7">
        <v>2.77</v>
      </c>
      <c r="P6" s="20">
        <v>1.7</v>
      </c>
      <c r="Q6" s="7">
        <v>1.56</v>
      </c>
      <c r="R6" s="7">
        <v>15.6</v>
      </c>
      <c r="S6" s="12"/>
      <c r="T6" s="12"/>
      <c r="U6" s="92">
        <v>5</v>
      </c>
      <c r="V6" s="7">
        <v>2.95</v>
      </c>
      <c r="W6" s="7">
        <v>6</v>
      </c>
      <c r="X6" s="7">
        <v>3.3</v>
      </c>
      <c r="Y6" s="7">
        <v>2.77</v>
      </c>
      <c r="Z6" s="12"/>
      <c r="AA6" s="12"/>
      <c r="AB6" s="52"/>
      <c r="AC6" s="92">
        <v>5</v>
      </c>
      <c r="AD6" s="7">
        <v>12.1</v>
      </c>
      <c r="AE6" s="87">
        <v>6.6</v>
      </c>
      <c r="AF6" s="7">
        <v>2.4</v>
      </c>
    </row>
    <row r="7" spans="1:32" x14ac:dyDescent="0.3">
      <c r="A7" s="3" t="s">
        <v>1</v>
      </c>
      <c r="B7" s="8" t="s">
        <v>704</v>
      </c>
      <c r="C7" s="8" t="s">
        <v>705</v>
      </c>
      <c r="D7" s="19" t="s">
        <v>706</v>
      </c>
      <c r="E7" s="12"/>
      <c r="F7" s="12"/>
      <c r="G7" s="8" t="s">
        <v>707</v>
      </c>
      <c r="H7" s="8"/>
      <c r="I7" s="19" t="s">
        <v>708</v>
      </c>
      <c r="J7" s="8" t="s">
        <v>709</v>
      </c>
      <c r="K7" s="8"/>
      <c r="L7" s="12"/>
      <c r="M7" s="12"/>
      <c r="N7" s="8" t="s">
        <v>710</v>
      </c>
      <c r="O7" s="8" t="s">
        <v>711</v>
      </c>
      <c r="P7" s="8" t="s">
        <v>712</v>
      </c>
      <c r="Q7" s="8" t="s">
        <v>713</v>
      </c>
      <c r="R7" s="8" t="s">
        <v>714</v>
      </c>
      <c r="S7" s="12"/>
      <c r="T7" s="12"/>
      <c r="U7" s="8" t="s">
        <v>715</v>
      </c>
      <c r="V7" s="8" t="s">
        <v>716</v>
      </c>
      <c r="W7" s="8"/>
      <c r="X7" s="8" t="s">
        <v>896</v>
      </c>
      <c r="Y7" s="8" t="s">
        <v>902</v>
      </c>
      <c r="Z7" s="12"/>
      <c r="AA7" s="12"/>
      <c r="AB7" s="52"/>
      <c r="AC7" s="8" t="s">
        <v>718</v>
      </c>
      <c r="AD7" s="8"/>
      <c r="AE7" s="8" t="s">
        <v>925</v>
      </c>
      <c r="AF7" s="8"/>
    </row>
    <row r="8" spans="1:32" x14ac:dyDescent="0.3">
      <c r="A8" s="4" t="s">
        <v>13</v>
      </c>
      <c r="B8" s="7">
        <v>4.3</v>
      </c>
      <c r="C8" s="7">
        <v>12.5</v>
      </c>
      <c r="D8" s="20">
        <v>4.5</v>
      </c>
      <c r="E8" s="12"/>
      <c r="F8" s="12"/>
      <c r="G8" s="7">
        <v>6.8</v>
      </c>
      <c r="H8" s="65"/>
      <c r="I8" s="19">
        <v>2.2000000000000002</v>
      </c>
      <c r="J8" s="65">
        <v>7.3</v>
      </c>
      <c r="K8" s="7"/>
      <c r="L8" s="12"/>
      <c r="M8" s="12"/>
      <c r="N8" s="7">
        <v>17.2</v>
      </c>
      <c r="O8" s="7">
        <v>5.54</v>
      </c>
      <c r="P8" s="7">
        <v>24.9</v>
      </c>
      <c r="Q8" s="65">
        <v>4.9000000000000004</v>
      </c>
      <c r="R8" s="7">
        <v>3</v>
      </c>
      <c r="S8" s="12"/>
      <c r="T8" s="12"/>
      <c r="U8" s="7">
        <v>3.5</v>
      </c>
      <c r="V8" s="7">
        <v>1.7</v>
      </c>
      <c r="W8" s="7"/>
      <c r="X8" s="7">
        <v>2.42</v>
      </c>
      <c r="Y8" s="7">
        <v>2.2999999999999998</v>
      </c>
      <c r="Z8" s="12"/>
      <c r="AA8" s="12"/>
      <c r="AB8" s="52"/>
      <c r="AC8" s="7">
        <v>1.5</v>
      </c>
      <c r="AD8" s="7"/>
      <c r="AE8" s="7">
        <v>5.2</v>
      </c>
      <c r="AF8" s="7"/>
    </row>
    <row r="9" spans="1:32" x14ac:dyDescent="0.3">
      <c r="A9" s="3" t="s">
        <v>1</v>
      </c>
      <c r="B9" s="19" t="s">
        <v>719</v>
      </c>
      <c r="C9" s="8"/>
      <c r="D9" s="8" t="s">
        <v>720</v>
      </c>
      <c r="E9" s="12"/>
      <c r="F9" s="12"/>
      <c r="G9" s="8" t="s">
        <v>721</v>
      </c>
      <c r="H9" s="8"/>
      <c r="I9" s="8" t="s">
        <v>722</v>
      </c>
      <c r="J9" s="19" t="s">
        <v>723</v>
      </c>
      <c r="K9" s="8"/>
      <c r="L9" s="12"/>
      <c r="M9" s="12"/>
      <c r="N9" s="8"/>
      <c r="O9" s="8" t="s">
        <v>724</v>
      </c>
      <c r="P9" s="8"/>
      <c r="Q9" s="8" t="s">
        <v>725</v>
      </c>
      <c r="R9" s="8" t="s">
        <v>726</v>
      </c>
      <c r="S9" s="12"/>
      <c r="T9" s="12"/>
      <c r="U9" s="8" t="s">
        <v>727</v>
      </c>
      <c r="V9" s="8"/>
      <c r="W9" s="8" t="s">
        <v>710</v>
      </c>
      <c r="X9" s="8"/>
      <c r="Y9" s="8" t="s">
        <v>903</v>
      </c>
      <c r="Z9" s="12"/>
      <c r="AA9" s="12"/>
      <c r="AB9" s="52"/>
      <c r="AC9" s="8"/>
      <c r="AD9" s="8"/>
      <c r="AE9" s="8" t="s">
        <v>926</v>
      </c>
      <c r="AF9" s="8" t="s">
        <v>914</v>
      </c>
    </row>
    <row r="10" spans="1:32" x14ac:dyDescent="0.3">
      <c r="A10" s="4" t="s">
        <v>13</v>
      </c>
      <c r="B10" s="20">
        <v>3.1</v>
      </c>
      <c r="C10" s="7"/>
      <c r="D10" s="65">
        <v>2.77</v>
      </c>
      <c r="E10" s="12"/>
      <c r="F10" s="12"/>
      <c r="G10" s="7">
        <v>4</v>
      </c>
      <c r="H10" s="7"/>
      <c r="I10" s="7">
        <v>4.5999999999999996</v>
      </c>
      <c r="J10" s="20">
        <v>15</v>
      </c>
      <c r="K10" s="7"/>
      <c r="L10" s="12"/>
      <c r="M10" s="12"/>
      <c r="N10" s="7"/>
      <c r="O10" s="7">
        <v>5.54</v>
      </c>
      <c r="P10" s="7"/>
      <c r="Q10" s="7">
        <v>1.56</v>
      </c>
      <c r="R10" s="7">
        <v>2.6</v>
      </c>
      <c r="S10" s="12"/>
      <c r="T10" s="12"/>
      <c r="U10" s="7">
        <v>3.6</v>
      </c>
      <c r="V10" s="7"/>
      <c r="W10" s="7">
        <v>11.9</v>
      </c>
      <c r="X10" s="7"/>
      <c r="Y10" s="7">
        <v>2.7</v>
      </c>
      <c r="Z10" s="12"/>
      <c r="AA10" s="12"/>
      <c r="AB10" s="52"/>
      <c r="AC10" s="7"/>
      <c r="AD10" s="7"/>
      <c r="AE10" s="7">
        <v>5.2</v>
      </c>
      <c r="AF10" s="7">
        <v>6.9</v>
      </c>
    </row>
    <row r="11" spans="1:32" x14ac:dyDescent="0.3">
      <c r="A11" s="3" t="s">
        <v>1</v>
      </c>
      <c r="B11" s="8" t="s">
        <v>729</v>
      </c>
      <c r="C11" s="8"/>
      <c r="D11" s="8"/>
      <c r="E11" s="12"/>
      <c r="F11" s="12"/>
      <c r="G11" s="8"/>
      <c r="H11" s="8"/>
      <c r="I11" s="8"/>
      <c r="J11" s="8" t="s">
        <v>730</v>
      </c>
      <c r="K11" s="19" t="s">
        <v>731</v>
      </c>
      <c r="L11" s="12"/>
      <c r="M11" s="12"/>
      <c r="N11" s="8"/>
      <c r="O11" s="8" t="s">
        <v>732</v>
      </c>
      <c r="P11" s="8"/>
      <c r="Q11" s="8" t="s">
        <v>733</v>
      </c>
      <c r="R11" s="8" t="s">
        <v>734</v>
      </c>
      <c r="S11" s="12"/>
      <c r="T11" s="12"/>
      <c r="U11" s="8" t="s">
        <v>735</v>
      </c>
      <c r="V11" s="8"/>
      <c r="W11" s="8" t="s">
        <v>894</v>
      </c>
      <c r="X11" s="8" t="s">
        <v>717</v>
      </c>
      <c r="Y11" s="8" t="s">
        <v>905</v>
      </c>
      <c r="Z11" s="12"/>
      <c r="AA11" s="12"/>
      <c r="AB11" s="52"/>
      <c r="AC11" s="8"/>
      <c r="AD11" s="8"/>
      <c r="AE11" s="8"/>
      <c r="AF11" s="8" t="s">
        <v>919</v>
      </c>
    </row>
    <row r="12" spans="1:32" x14ac:dyDescent="0.3">
      <c r="A12" s="4" t="s">
        <v>13</v>
      </c>
      <c r="B12" s="7">
        <v>15.9</v>
      </c>
      <c r="C12" s="7"/>
      <c r="D12" s="7"/>
      <c r="E12" s="12"/>
      <c r="F12" s="12"/>
      <c r="G12" s="7"/>
      <c r="H12" s="7"/>
      <c r="I12" s="7"/>
      <c r="J12" s="7">
        <v>2.2000000000000002</v>
      </c>
      <c r="K12" s="20">
        <v>5.0999999999999996</v>
      </c>
      <c r="L12" s="12"/>
      <c r="M12" s="12"/>
      <c r="N12" s="7"/>
      <c r="O12" s="7">
        <v>3</v>
      </c>
      <c r="P12" s="7"/>
      <c r="Q12" s="7">
        <v>1.62</v>
      </c>
      <c r="R12" s="7">
        <v>2.6</v>
      </c>
      <c r="S12" s="12"/>
      <c r="T12" s="12"/>
      <c r="U12" s="7">
        <v>19.7</v>
      </c>
      <c r="V12" s="7"/>
      <c r="W12" s="7">
        <v>2.77</v>
      </c>
      <c r="X12" s="7">
        <v>4.5999999999999996</v>
      </c>
      <c r="Y12" s="7">
        <v>2</v>
      </c>
      <c r="Z12" s="12"/>
      <c r="AA12" s="12"/>
      <c r="AB12" s="52"/>
      <c r="AC12" s="7"/>
      <c r="AD12" s="7"/>
      <c r="AE12" s="7"/>
      <c r="AF12" s="7">
        <v>21.9</v>
      </c>
    </row>
    <row r="13" spans="1:32" x14ac:dyDescent="0.3">
      <c r="A13" s="3" t="s">
        <v>1</v>
      </c>
      <c r="B13" s="8"/>
      <c r="C13" s="8"/>
      <c r="D13" s="8"/>
      <c r="E13" s="12"/>
      <c r="F13" s="12"/>
      <c r="G13" s="8"/>
      <c r="H13" s="8"/>
      <c r="I13" s="8"/>
      <c r="J13" s="8"/>
      <c r="K13" s="8">
        <v>11791</v>
      </c>
      <c r="L13" s="12"/>
      <c r="M13" s="12"/>
      <c r="N13" s="8"/>
      <c r="O13" s="8" t="s">
        <v>736</v>
      </c>
      <c r="P13" s="8"/>
      <c r="Q13" s="8"/>
      <c r="R13" s="19" t="s">
        <v>737</v>
      </c>
      <c r="S13" s="12"/>
      <c r="T13" s="12"/>
      <c r="U13" s="8"/>
      <c r="V13" s="8"/>
      <c r="W13" s="8" t="s">
        <v>907</v>
      </c>
      <c r="X13" s="8" t="s">
        <v>728</v>
      </c>
      <c r="Y13" s="19" t="s">
        <v>906</v>
      </c>
      <c r="Z13" s="12"/>
      <c r="AA13" s="12"/>
      <c r="AB13" s="52"/>
      <c r="AC13" s="8"/>
      <c r="AD13" s="8"/>
      <c r="AE13" s="8"/>
      <c r="AF13" s="8"/>
    </row>
    <row r="14" spans="1:32" x14ac:dyDescent="0.3">
      <c r="A14" s="4" t="s">
        <v>13</v>
      </c>
      <c r="B14" s="7"/>
      <c r="C14" s="7"/>
      <c r="D14" s="7"/>
      <c r="E14" s="12"/>
      <c r="F14" s="12"/>
      <c r="G14" s="7"/>
      <c r="H14" s="7"/>
      <c r="I14" s="7"/>
      <c r="J14" s="7"/>
      <c r="K14" s="7">
        <v>1.4</v>
      </c>
      <c r="L14" s="12"/>
      <c r="M14" s="12"/>
      <c r="N14" s="7"/>
      <c r="O14" s="7">
        <v>2</v>
      </c>
      <c r="P14" s="7"/>
      <c r="Q14" s="7"/>
      <c r="R14" s="20">
        <v>1.2</v>
      </c>
      <c r="S14" s="12"/>
      <c r="T14" s="12"/>
      <c r="U14" s="7"/>
      <c r="V14" s="7"/>
      <c r="W14" s="7">
        <v>2.2999999999999998</v>
      </c>
      <c r="X14" s="7">
        <v>12.8</v>
      </c>
      <c r="Y14" s="20">
        <v>2.2000000000000002</v>
      </c>
      <c r="Z14" s="12"/>
      <c r="AA14" s="12"/>
      <c r="AB14" s="52"/>
      <c r="AC14" s="7"/>
      <c r="AD14" s="7"/>
      <c r="AE14" s="7"/>
      <c r="AF14" s="7"/>
    </row>
    <row r="15" spans="1:32" x14ac:dyDescent="0.3">
      <c r="A15" s="3" t="s">
        <v>1</v>
      </c>
      <c r="B15" s="8"/>
      <c r="C15" s="8"/>
      <c r="D15" s="8"/>
      <c r="E15" s="12"/>
      <c r="F15" s="12"/>
      <c r="G15" s="8"/>
      <c r="H15" s="8"/>
      <c r="I15" s="8"/>
      <c r="J15" s="8"/>
      <c r="K15" s="8"/>
      <c r="L15" s="12"/>
      <c r="M15" s="12"/>
      <c r="N15" s="8"/>
      <c r="O15" s="8" t="s">
        <v>643</v>
      </c>
      <c r="P15" s="8"/>
      <c r="Q15" s="19" t="s">
        <v>738</v>
      </c>
      <c r="R15" s="8" t="s">
        <v>739</v>
      </c>
      <c r="S15" s="12"/>
      <c r="T15" s="12"/>
      <c r="U15" s="8"/>
      <c r="V15" s="19" t="s">
        <v>740</v>
      </c>
      <c r="W15" s="8"/>
      <c r="X15" s="8"/>
      <c r="Y15" s="8" t="s">
        <v>910</v>
      </c>
      <c r="Z15" s="12"/>
      <c r="AA15" s="12"/>
      <c r="AB15" s="52"/>
      <c r="AC15" s="8"/>
      <c r="AD15" s="8"/>
      <c r="AE15" s="8"/>
      <c r="AF15" s="8"/>
    </row>
    <row r="16" spans="1:32" x14ac:dyDescent="0.3">
      <c r="A16" s="4" t="s">
        <v>13</v>
      </c>
      <c r="B16" s="7"/>
      <c r="C16" s="7"/>
      <c r="D16" s="7"/>
      <c r="E16" s="12"/>
      <c r="F16" s="12"/>
      <c r="G16" s="7"/>
      <c r="H16" s="7"/>
      <c r="I16" s="7"/>
      <c r="J16" s="7"/>
      <c r="K16" s="7"/>
      <c r="L16" s="12"/>
      <c r="M16" s="12"/>
      <c r="N16" s="7"/>
      <c r="O16" s="7">
        <v>0.9</v>
      </c>
      <c r="P16" s="7"/>
      <c r="Q16" s="19">
        <v>1.1000000000000001</v>
      </c>
      <c r="R16" s="7">
        <v>3.5</v>
      </c>
      <c r="S16" s="12"/>
      <c r="T16" s="12"/>
      <c r="U16" s="7"/>
      <c r="V16" s="20">
        <v>0.8</v>
      </c>
      <c r="W16" s="7"/>
      <c r="X16" s="7"/>
      <c r="Y16" s="7">
        <v>5.6</v>
      </c>
      <c r="Z16" s="12"/>
      <c r="AA16" s="12"/>
      <c r="AB16" s="52"/>
      <c r="AC16" s="7"/>
      <c r="AD16" s="7"/>
      <c r="AE16" s="7"/>
      <c r="AF16" s="7"/>
    </row>
    <row r="17" spans="1:32" x14ac:dyDescent="0.3">
      <c r="A17" s="3" t="s">
        <v>1</v>
      </c>
      <c r="B17" s="8"/>
      <c r="C17" s="8"/>
      <c r="D17" s="8"/>
      <c r="E17" s="12"/>
      <c r="F17" s="12"/>
      <c r="G17" s="8"/>
      <c r="H17" s="8"/>
      <c r="I17" s="8"/>
      <c r="J17" s="8"/>
      <c r="K17" s="8"/>
      <c r="L17" s="12"/>
      <c r="M17" s="12"/>
      <c r="N17" s="8"/>
      <c r="O17" s="8"/>
      <c r="P17" s="8"/>
      <c r="Q17" s="8"/>
      <c r="R17" s="8"/>
      <c r="S17" s="12"/>
      <c r="T17" s="12"/>
      <c r="U17" s="8"/>
      <c r="V17" s="8"/>
      <c r="W17" s="8"/>
      <c r="X17" s="8"/>
      <c r="Y17" s="8"/>
      <c r="Z17" s="12"/>
      <c r="AA17" s="12"/>
      <c r="AB17" s="52"/>
      <c r="AC17" s="8"/>
      <c r="AD17" s="8"/>
      <c r="AE17" s="8"/>
      <c r="AF17" s="8"/>
    </row>
    <row r="18" spans="1:32" x14ac:dyDescent="0.3">
      <c r="A18" s="4" t="s">
        <v>13</v>
      </c>
      <c r="B18" s="7"/>
      <c r="C18" s="7"/>
      <c r="D18" s="7"/>
      <c r="E18" s="12"/>
      <c r="F18" s="12"/>
      <c r="G18" s="7"/>
      <c r="H18" s="7"/>
      <c r="I18" s="7"/>
      <c r="J18" s="7"/>
      <c r="K18" s="7"/>
      <c r="L18" s="12"/>
      <c r="M18" s="12"/>
      <c r="N18" s="7"/>
      <c r="O18" s="7"/>
      <c r="P18" s="7"/>
      <c r="Q18" s="7"/>
      <c r="R18" s="7"/>
      <c r="S18" s="12"/>
      <c r="T18" s="12"/>
      <c r="U18" s="7"/>
      <c r="V18" s="7"/>
      <c r="W18" s="7"/>
      <c r="X18" s="7"/>
      <c r="Y18" s="7"/>
      <c r="Z18" s="12"/>
      <c r="AA18" s="12"/>
      <c r="AB18" s="52"/>
      <c r="AC18" s="7"/>
      <c r="AD18" s="7"/>
      <c r="AE18" s="7"/>
      <c r="AF18" s="7"/>
    </row>
    <row r="19" spans="1:32" x14ac:dyDescent="0.3">
      <c r="A19" s="3" t="s">
        <v>1</v>
      </c>
      <c r="B19" s="8"/>
      <c r="C19" s="8"/>
      <c r="D19" s="8"/>
      <c r="E19" s="12"/>
      <c r="F19" s="12"/>
      <c r="G19" s="8"/>
      <c r="H19" s="8"/>
      <c r="I19" s="8"/>
      <c r="J19" s="8"/>
      <c r="K19" s="8"/>
      <c r="L19" s="12"/>
      <c r="M19" s="12"/>
      <c r="N19" s="8"/>
      <c r="O19" s="8"/>
      <c r="P19" s="8"/>
      <c r="Q19" s="8"/>
      <c r="R19" s="8"/>
      <c r="S19" s="12"/>
      <c r="T19" s="12"/>
      <c r="U19" s="8"/>
      <c r="V19" s="8"/>
      <c r="W19" s="8"/>
      <c r="X19" s="8"/>
      <c r="Y19" s="8"/>
      <c r="Z19" s="12"/>
      <c r="AA19" s="12"/>
      <c r="AB19" s="52"/>
      <c r="AC19" s="8"/>
      <c r="AD19" s="8"/>
      <c r="AE19" s="8"/>
      <c r="AF19" s="8"/>
    </row>
    <row r="20" spans="1:32" x14ac:dyDescent="0.3">
      <c r="A20" s="4" t="s">
        <v>13</v>
      </c>
      <c r="B20" s="7"/>
      <c r="C20" s="7"/>
      <c r="D20" s="7"/>
      <c r="E20" s="12"/>
      <c r="F20" s="12"/>
      <c r="G20" s="7"/>
      <c r="H20" s="7"/>
      <c r="I20" s="7"/>
      <c r="J20" s="7"/>
      <c r="K20" s="7"/>
      <c r="L20" s="12"/>
      <c r="M20" s="12"/>
      <c r="N20" s="7"/>
      <c r="O20" s="7"/>
      <c r="P20" s="7"/>
      <c r="Q20" s="7"/>
      <c r="R20" s="7"/>
      <c r="S20" s="12"/>
      <c r="T20" s="12"/>
      <c r="U20" s="7"/>
      <c r="V20" s="7"/>
      <c r="W20" s="7"/>
      <c r="X20" s="7"/>
      <c r="Y20" s="7"/>
      <c r="Z20" s="12"/>
      <c r="AA20" s="12"/>
      <c r="AB20" s="52"/>
      <c r="AC20" s="7"/>
      <c r="AD20" s="7"/>
      <c r="AE20" s="7"/>
      <c r="AF20" s="7"/>
    </row>
    <row r="21" spans="1:32" x14ac:dyDescent="0.3">
      <c r="A21" s="3" t="s">
        <v>1</v>
      </c>
      <c r="B21" s="8"/>
      <c r="C21" s="8"/>
      <c r="D21" s="8"/>
      <c r="E21" s="12"/>
      <c r="F21" s="12"/>
      <c r="G21" s="8"/>
      <c r="H21" s="8"/>
      <c r="I21" s="8"/>
      <c r="J21" s="8"/>
      <c r="K21" s="8"/>
      <c r="L21" s="12"/>
      <c r="M21" s="12"/>
      <c r="N21" s="8"/>
      <c r="O21" s="8"/>
      <c r="P21" s="8"/>
      <c r="Q21" s="8"/>
      <c r="R21" s="8"/>
      <c r="S21" s="12"/>
      <c r="T21" s="12"/>
      <c r="U21" s="8"/>
      <c r="V21" s="8"/>
      <c r="W21" s="8"/>
      <c r="X21" s="8"/>
      <c r="Y21" s="8"/>
      <c r="Z21" s="12"/>
      <c r="AA21" s="12"/>
      <c r="AB21" s="52"/>
      <c r="AC21" s="8"/>
      <c r="AD21" s="8"/>
      <c r="AE21" s="8"/>
      <c r="AF21" s="8"/>
    </row>
    <row r="22" spans="1:32" x14ac:dyDescent="0.3">
      <c r="A22" s="4" t="s">
        <v>13</v>
      </c>
      <c r="B22" s="7"/>
      <c r="C22" s="7"/>
      <c r="D22" s="7"/>
      <c r="E22" s="12"/>
      <c r="F22" s="12"/>
      <c r="G22" s="7"/>
      <c r="H22" s="7"/>
      <c r="I22" s="7"/>
      <c r="J22" s="7"/>
      <c r="K22" s="7"/>
      <c r="L22" s="12"/>
      <c r="M22" s="12"/>
      <c r="N22" s="7"/>
      <c r="O22" s="7"/>
      <c r="P22" s="7"/>
      <c r="Q22" s="7"/>
      <c r="R22" s="7"/>
      <c r="S22" s="12"/>
      <c r="T22" s="12"/>
      <c r="U22" s="7"/>
      <c r="V22" s="7"/>
      <c r="W22" s="7"/>
      <c r="X22" s="7"/>
      <c r="Y22" s="7"/>
      <c r="Z22" s="12"/>
      <c r="AA22" s="12"/>
      <c r="AB22" s="52"/>
      <c r="AC22" s="7"/>
      <c r="AD22" s="7"/>
      <c r="AE22" s="7"/>
      <c r="AF22" s="7"/>
    </row>
    <row r="23" spans="1:32" x14ac:dyDescent="0.3">
      <c r="A23" s="3" t="s">
        <v>1</v>
      </c>
      <c r="B23" s="8"/>
      <c r="C23" s="8"/>
      <c r="D23" s="8"/>
      <c r="E23" s="12"/>
      <c r="F23" s="12"/>
      <c r="G23" s="8"/>
      <c r="H23" s="8"/>
      <c r="I23" s="8"/>
      <c r="J23" s="8"/>
      <c r="K23" s="8"/>
      <c r="L23" s="12"/>
      <c r="M23" s="12"/>
      <c r="N23" s="8"/>
      <c r="O23" s="8"/>
      <c r="P23" s="8"/>
      <c r="Q23" s="8"/>
      <c r="R23" s="8"/>
      <c r="S23" s="12"/>
      <c r="T23" s="12"/>
      <c r="U23" s="8"/>
      <c r="V23" s="8"/>
      <c r="W23" s="8"/>
      <c r="X23" s="8"/>
      <c r="Y23" s="8"/>
      <c r="Z23" s="12"/>
      <c r="AA23" s="12"/>
      <c r="AB23" s="52"/>
      <c r="AC23" s="8"/>
      <c r="AD23" s="8"/>
      <c r="AE23" s="8"/>
      <c r="AF23" s="8"/>
    </row>
    <row r="24" spans="1:32" x14ac:dyDescent="0.3">
      <c r="A24" s="4" t="s">
        <v>13</v>
      </c>
      <c r="B24" s="7"/>
      <c r="C24" s="7"/>
      <c r="D24" s="7"/>
      <c r="E24" s="12"/>
      <c r="F24" s="12"/>
      <c r="G24" s="7"/>
      <c r="H24" s="7"/>
      <c r="I24" s="7"/>
      <c r="J24" s="7"/>
      <c r="K24" s="7"/>
      <c r="L24" s="12"/>
      <c r="M24" s="12"/>
      <c r="N24" s="7"/>
      <c r="O24" s="7"/>
      <c r="P24" s="7"/>
      <c r="Q24" s="7"/>
      <c r="R24" s="7"/>
      <c r="S24" s="12"/>
      <c r="T24" s="12"/>
      <c r="U24" s="7"/>
      <c r="V24" s="7"/>
      <c r="W24" s="7"/>
      <c r="X24" s="7"/>
      <c r="Y24" s="7"/>
      <c r="Z24" s="12"/>
      <c r="AA24" s="12"/>
      <c r="AB24" s="52"/>
      <c r="AC24" s="7"/>
      <c r="AD24" s="7"/>
      <c r="AE24" s="7"/>
      <c r="AF24" s="7"/>
    </row>
    <row r="25" spans="1:32" x14ac:dyDescent="0.3">
      <c r="A25" s="3" t="s">
        <v>1</v>
      </c>
      <c r="B25" s="8"/>
      <c r="C25" s="8"/>
      <c r="D25" s="8"/>
      <c r="E25" s="12"/>
      <c r="F25" s="12"/>
      <c r="G25" s="8"/>
      <c r="H25" s="8"/>
      <c r="I25" s="8"/>
      <c r="J25" s="8"/>
      <c r="K25" s="8"/>
      <c r="L25" s="12"/>
      <c r="M25" s="12"/>
      <c r="N25" s="8"/>
      <c r="O25" s="8"/>
      <c r="P25" s="8"/>
      <c r="Q25" s="8"/>
      <c r="R25" s="8"/>
      <c r="S25" s="12"/>
      <c r="T25" s="12"/>
      <c r="U25" s="8"/>
      <c r="V25" s="8"/>
      <c r="W25" s="8"/>
      <c r="X25" s="8"/>
      <c r="Y25" s="8"/>
      <c r="Z25" s="12"/>
      <c r="AA25" s="12"/>
      <c r="AB25" s="52"/>
      <c r="AC25" s="8"/>
      <c r="AD25" s="8"/>
      <c r="AE25" s="8"/>
      <c r="AF25" s="8"/>
    </row>
    <row r="26" spans="1:32" x14ac:dyDescent="0.3">
      <c r="A26" s="4" t="s">
        <v>13</v>
      </c>
      <c r="B26" s="7"/>
      <c r="C26" s="7"/>
      <c r="D26" s="7"/>
      <c r="E26" s="12"/>
      <c r="F26" s="12"/>
      <c r="G26" s="7"/>
      <c r="H26" s="7"/>
      <c r="I26" s="7"/>
      <c r="J26" s="7"/>
      <c r="K26" s="7"/>
      <c r="L26" s="12"/>
      <c r="M26" s="12"/>
      <c r="N26" s="7"/>
      <c r="O26" s="7"/>
      <c r="P26" s="7"/>
      <c r="Q26" s="7"/>
      <c r="R26" s="7"/>
      <c r="S26" s="12"/>
      <c r="T26" s="12"/>
      <c r="U26" s="7"/>
      <c r="V26" s="7"/>
      <c r="W26" s="7"/>
      <c r="X26" s="7"/>
      <c r="Y26" s="7"/>
      <c r="Z26" s="12"/>
      <c r="AA26" s="12"/>
      <c r="AB26" s="52"/>
      <c r="AC26" s="7"/>
      <c r="AD26" s="7"/>
      <c r="AE26" s="7"/>
      <c r="AF26" s="7"/>
    </row>
    <row r="27" spans="1:32" x14ac:dyDescent="0.3">
      <c r="A27" s="3" t="s">
        <v>1</v>
      </c>
      <c r="B27" s="8"/>
      <c r="C27" s="8"/>
      <c r="D27" s="8"/>
      <c r="E27" s="12"/>
      <c r="F27" s="12"/>
      <c r="G27" s="8"/>
      <c r="H27" s="8"/>
      <c r="I27" s="8"/>
      <c r="J27" s="8"/>
      <c r="K27" s="8"/>
      <c r="L27" s="12"/>
      <c r="M27" s="12"/>
      <c r="N27" s="8"/>
      <c r="O27" s="8"/>
      <c r="P27" s="8"/>
      <c r="Q27" s="8"/>
      <c r="R27" s="8"/>
      <c r="S27" s="12"/>
      <c r="T27" s="12"/>
      <c r="U27" s="8"/>
      <c r="V27" s="8"/>
      <c r="W27" s="8"/>
      <c r="X27" s="8"/>
      <c r="Y27" s="8"/>
      <c r="Z27" s="12"/>
      <c r="AA27" s="12"/>
      <c r="AB27" s="52"/>
      <c r="AC27" s="8"/>
      <c r="AD27" s="8"/>
      <c r="AE27" s="8"/>
      <c r="AF27" s="8"/>
    </row>
    <row r="28" spans="1:32" x14ac:dyDescent="0.3">
      <c r="A28" s="4" t="s">
        <v>13</v>
      </c>
      <c r="B28" s="7"/>
      <c r="C28" s="7"/>
      <c r="D28" s="7"/>
      <c r="E28" s="12"/>
      <c r="F28" s="12"/>
      <c r="G28" s="7"/>
      <c r="H28" s="7"/>
      <c r="I28" s="7"/>
      <c r="J28" s="7"/>
      <c r="K28" s="7"/>
      <c r="L28" s="12"/>
      <c r="M28" s="12"/>
      <c r="N28" s="7"/>
      <c r="O28" s="7"/>
      <c r="P28" s="7"/>
      <c r="Q28" s="7"/>
      <c r="R28" s="7"/>
      <c r="S28" s="12"/>
      <c r="T28" s="12"/>
      <c r="U28" s="7"/>
      <c r="V28" s="7"/>
      <c r="W28" s="7"/>
      <c r="X28" s="7"/>
      <c r="Y28" s="7"/>
      <c r="Z28" s="12"/>
      <c r="AA28" s="12"/>
      <c r="AB28" s="52"/>
      <c r="AC28" s="7"/>
      <c r="AD28" s="7"/>
      <c r="AE28" s="7"/>
      <c r="AF28" s="7"/>
    </row>
    <row r="29" spans="1:32" x14ac:dyDescent="0.3">
      <c r="A29" s="3" t="s">
        <v>1</v>
      </c>
      <c r="B29" s="8"/>
      <c r="C29" s="8"/>
      <c r="D29" s="8"/>
      <c r="E29" s="12"/>
      <c r="F29" s="12"/>
      <c r="G29" s="8"/>
      <c r="H29" s="8"/>
      <c r="I29" s="8"/>
      <c r="J29" s="8"/>
      <c r="K29" s="8"/>
      <c r="L29" s="12"/>
      <c r="M29" s="12"/>
      <c r="N29" s="8"/>
      <c r="O29" s="8"/>
      <c r="P29" s="8"/>
      <c r="Q29" s="8"/>
      <c r="R29" s="8"/>
      <c r="S29" s="12"/>
      <c r="T29" s="12"/>
      <c r="U29" s="8"/>
      <c r="V29" s="8"/>
      <c r="W29" s="8"/>
      <c r="X29" s="8"/>
      <c r="Y29" s="8"/>
      <c r="Z29" s="12"/>
      <c r="AA29" s="12"/>
      <c r="AB29" s="52"/>
      <c r="AC29" s="8"/>
      <c r="AD29" s="8"/>
      <c r="AE29" s="8"/>
      <c r="AF29" s="8"/>
    </row>
    <row r="30" spans="1:32" x14ac:dyDescent="0.3">
      <c r="A30" s="4" t="s">
        <v>13</v>
      </c>
      <c r="B30" s="7"/>
      <c r="C30" s="7"/>
      <c r="D30" s="7"/>
      <c r="E30" s="12"/>
      <c r="F30" s="12"/>
      <c r="G30" s="7"/>
      <c r="H30" s="7"/>
      <c r="I30" s="7"/>
      <c r="J30" s="7"/>
      <c r="K30" s="7"/>
      <c r="L30" s="12"/>
      <c r="M30" s="12"/>
      <c r="N30" s="7"/>
      <c r="O30" s="7"/>
      <c r="P30" s="7"/>
      <c r="Q30" s="7"/>
      <c r="R30" s="7"/>
      <c r="S30" s="12"/>
      <c r="T30" s="12"/>
      <c r="U30" s="7"/>
      <c r="V30" s="7"/>
      <c r="W30" s="7"/>
      <c r="X30" s="7"/>
      <c r="Y30" s="7"/>
      <c r="Z30" s="12"/>
      <c r="AA30" s="12"/>
      <c r="AB30" s="52"/>
      <c r="AC30" s="7"/>
      <c r="AD30" s="7"/>
      <c r="AE30" s="7"/>
      <c r="AF30" s="7"/>
    </row>
    <row r="31" spans="1:32" x14ac:dyDescent="0.3">
      <c r="A31" s="3" t="s">
        <v>1</v>
      </c>
      <c r="B31" s="8"/>
      <c r="C31" s="8"/>
      <c r="D31" s="8"/>
      <c r="E31" s="12"/>
      <c r="F31" s="12"/>
      <c r="G31" s="8"/>
      <c r="H31" s="8"/>
      <c r="I31" s="8"/>
      <c r="J31" s="8"/>
      <c r="K31" s="8"/>
      <c r="L31" s="12"/>
      <c r="M31" s="12"/>
      <c r="N31" s="8"/>
      <c r="O31" s="8"/>
      <c r="P31" s="8"/>
      <c r="Q31" s="8"/>
      <c r="R31" s="8"/>
      <c r="S31" s="12"/>
      <c r="T31" s="12"/>
      <c r="U31" s="8"/>
      <c r="V31" s="8"/>
      <c r="W31" s="8"/>
      <c r="X31" s="8"/>
      <c r="Y31" s="8"/>
      <c r="Z31" s="12"/>
      <c r="AA31" s="12"/>
      <c r="AB31" s="52"/>
      <c r="AC31" s="8"/>
      <c r="AD31" s="8"/>
      <c r="AE31" s="8"/>
      <c r="AF31" s="8"/>
    </row>
    <row r="32" spans="1:32" x14ac:dyDescent="0.3">
      <c r="A32" s="4" t="s">
        <v>13</v>
      </c>
      <c r="B32" s="7"/>
      <c r="C32" s="7"/>
      <c r="D32" s="7"/>
      <c r="E32" s="12"/>
      <c r="F32" s="12"/>
      <c r="G32" s="7"/>
      <c r="H32" s="7"/>
      <c r="I32" s="7"/>
      <c r="J32" s="7"/>
      <c r="K32" s="7"/>
      <c r="L32" s="12"/>
      <c r="M32" s="12"/>
      <c r="N32" s="7"/>
      <c r="O32" s="7"/>
      <c r="P32" s="7"/>
      <c r="Q32" s="7"/>
      <c r="R32" s="7"/>
      <c r="S32" s="12"/>
      <c r="T32" s="12"/>
      <c r="U32" s="7"/>
      <c r="V32" s="7"/>
      <c r="W32" s="7"/>
      <c r="X32" s="7"/>
      <c r="Y32" s="7"/>
      <c r="Z32" s="12"/>
      <c r="AA32" s="12"/>
      <c r="AB32" s="52"/>
      <c r="AC32" s="7"/>
      <c r="AD32" s="7"/>
      <c r="AE32" s="7"/>
      <c r="AF32" s="7"/>
    </row>
    <row r="33" spans="1:32" x14ac:dyDescent="0.3">
      <c r="A33" s="9" t="s">
        <v>59</v>
      </c>
      <c r="B33" s="93">
        <f>31.8-B4-B6-B8-B10-B12-B14-B16-B18-B20-B22-B24-B26-B28-B30-B32</f>
        <v>8.4999999999999982</v>
      </c>
      <c r="C33" s="94">
        <f t="shared" ref="C33:AA33" si="1">31.8-C4-C6-C8-C10-C12-C14-C16-C18-C20-C22-C24-C26-C28-C30-C32</f>
        <v>-1.7763568394002505E-15</v>
      </c>
      <c r="D33" s="93">
        <f t="shared" si="1"/>
        <v>1.0300000000000042</v>
      </c>
      <c r="E33" s="94">
        <f t="shared" si="1"/>
        <v>31.8</v>
      </c>
      <c r="F33" s="94">
        <f t="shared" si="1"/>
        <v>31.8</v>
      </c>
      <c r="G33" s="94">
        <f t="shared" si="1"/>
        <v>8.8817841970012523E-16</v>
      </c>
      <c r="H33" s="94">
        <f t="shared" si="1"/>
        <v>3.5527136788005009E-15</v>
      </c>
      <c r="I33" s="94">
        <f t="shared" si="1"/>
        <v>8.8817841970012523E-16</v>
      </c>
      <c r="J33" s="94">
        <f t="shared" si="1"/>
        <v>-8.8817841970012523E-16</v>
      </c>
      <c r="K33" s="94">
        <f t="shared" si="1"/>
        <v>3.9968028886505635E-15</v>
      </c>
      <c r="L33" s="94">
        <f t="shared" si="1"/>
        <v>31.8</v>
      </c>
      <c r="M33" s="94">
        <f t="shared" si="1"/>
        <v>31.8</v>
      </c>
      <c r="N33" s="94">
        <f>31.8-N4-N6-N8-N10-N12-N14-N16-N18-N20-N22-N24-N26-N28-N30-N32</f>
        <v>3.5527136788005009E-15</v>
      </c>
      <c r="O33" s="94">
        <f t="shared" si="1"/>
        <v>-4.9999999999995937E-2</v>
      </c>
      <c r="P33" s="94">
        <f t="shared" si="1"/>
        <v>3.5527136788005009E-15</v>
      </c>
      <c r="Q33" s="94">
        <f t="shared" si="1"/>
        <v>-4.0000000000001812E-2</v>
      </c>
      <c r="R33" s="94">
        <f t="shared" si="1"/>
        <v>8.8817841970012523E-16</v>
      </c>
      <c r="S33" s="94">
        <f t="shared" si="1"/>
        <v>31.8</v>
      </c>
      <c r="T33" s="94">
        <f t="shared" si="1"/>
        <v>31.8</v>
      </c>
      <c r="U33" s="94">
        <f t="shared" si="1"/>
        <v>0</v>
      </c>
      <c r="V33" s="93">
        <f t="shared" si="1"/>
        <v>14.95</v>
      </c>
      <c r="W33" s="93">
        <f t="shared" si="1"/>
        <v>3.6300000000000017</v>
      </c>
      <c r="X33" s="93">
        <f t="shared" si="1"/>
        <v>3.379999999999999</v>
      </c>
      <c r="Y33" s="93">
        <f t="shared" si="1"/>
        <v>3.83</v>
      </c>
      <c r="Z33" s="94">
        <f t="shared" si="1"/>
        <v>31.8</v>
      </c>
      <c r="AA33" s="94">
        <f t="shared" si="1"/>
        <v>31.8</v>
      </c>
      <c r="AB33" s="96">
        <f t="shared" ref="AB33:AF33" si="2">39.15-AB4-AB6-AB8-AB10-AB12-AB14-AB16-AB18-AB20-AB22-AB24-AB26-AB28-AB30-AB32</f>
        <v>39.15</v>
      </c>
      <c r="AC33" s="93">
        <f t="shared" si="2"/>
        <v>32.65</v>
      </c>
      <c r="AD33" s="100">
        <f t="shared" si="2"/>
        <v>27.049999999999997</v>
      </c>
      <c r="AE33" s="93">
        <f t="shared" si="2"/>
        <v>14.149999999999999</v>
      </c>
      <c r="AF33" s="93">
        <f t="shared" si="2"/>
        <v>3.9500000000000028</v>
      </c>
    </row>
    <row r="34" spans="1:32" x14ac:dyDescent="0.3">
      <c r="AB34" t="s">
        <v>741</v>
      </c>
    </row>
    <row r="35" spans="1:32" x14ac:dyDescent="0.3">
      <c r="B35" s="70" t="s">
        <v>742</v>
      </c>
      <c r="C35" s="70"/>
      <c r="D35" s="70"/>
      <c r="AB35" t="s">
        <v>743</v>
      </c>
    </row>
  </sheetData>
  <conditionalFormatting sqref="B2:AF2">
    <cfRule type="cellIs" dxfId="5" priority="1" operator="equal">
      <formula>40</formula>
    </cfRule>
    <cfRule type="cellIs" dxfId="4" priority="2" operator="greaterThan">
      <formula>40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56CA-C7FD-4E08-B8B0-DFB39839D622}">
  <dimension ref="A1:AE33"/>
  <sheetViews>
    <sheetView workbookViewId="0">
      <selection activeCell="S33" sqref="S33"/>
    </sheetView>
  </sheetViews>
  <sheetFormatPr defaultRowHeight="14.4" x14ac:dyDescent="0.3"/>
  <cols>
    <col min="1" max="1" width="16" bestFit="1" customWidth="1"/>
    <col min="4" max="4" width="9.33203125" bestFit="1" customWidth="1"/>
    <col min="12" max="13" width="9.33203125" bestFit="1" customWidth="1"/>
    <col min="20" max="20" width="9.21875" bestFit="1" customWidth="1"/>
    <col min="22" max="22" width="9.21875" bestFit="1" customWidth="1"/>
  </cols>
  <sheetData>
    <row r="1" spans="1:31" x14ac:dyDescent="0.3">
      <c r="A1" s="3"/>
      <c r="B1" s="98">
        <v>45962</v>
      </c>
      <c r="C1" s="98">
        <v>45963</v>
      </c>
      <c r="D1" s="99">
        <v>45964</v>
      </c>
      <c r="E1" s="99">
        <v>45965</v>
      </c>
      <c r="F1" s="99">
        <v>45966</v>
      </c>
      <c r="G1" s="99">
        <v>45967</v>
      </c>
      <c r="H1" s="99">
        <v>45968</v>
      </c>
      <c r="I1" s="98">
        <v>45969</v>
      </c>
      <c r="J1" s="98">
        <v>45970</v>
      </c>
      <c r="K1" s="99">
        <v>45971</v>
      </c>
      <c r="L1" s="99">
        <v>45972</v>
      </c>
      <c r="M1" s="99">
        <v>45973</v>
      </c>
      <c r="N1" s="99">
        <v>45974</v>
      </c>
      <c r="O1" s="99">
        <v>45975</v>
      </c>
      <c r="P1" s="98">
        <v>45976</v>
      </c>
      <c r="Q1" s="98">
        <v>45977</v>
      </c>
      <c r="R1" s="99">
        <v>45978</v>
      </c>
      <c r="S1" s="99">
        <v>45979</v>
      </c>
      <c r="T1" s="99">
        <v>45980</v>
      </c>
      <c r="U1" s="99">
        <v>45981</v>
      </c>
      <c r="V1" s="99">
        <v>45982</v>
      </c>
      <c r="W1" s="98">
        <v>45983</v>
      </c>
      <c r="X1" s="98">
        <v>45984</v>
      </c>
      <c r="Y1" s="99">
        <v>45985</v>
      </c>
      <c r="Z1" s="99">
        <v>45986</v>
      </c>
      <c r="AA1" s="99">
        <v>45987</v>
      </c>
      <c r="AB1" s="99">
        <v>45988</v>
      </c>
      <c r="AC1" s="99">
        <v>45989</v>
      </c>
      <c r="AD1" s="98">
        <v>45990</v>
      </c>
      <c r="AE1" s="98">
        <v>45991</v>
      </c>
    </row>
    <row r="2" spans="1:31" x14ac:dyDescent="0.3">
      <c r="A2" s="1" t="s">
        <v>0</v>
      </c>
      <c r="B2" s="12">
        <f>B4+B6+B8+B10+B12+B14+B16+B18+B20+B22+B24+B26+B28+B30+B32</f>
        <v>0</v>
      </c>
      <c r="C2" s="12">
        <f>C4+C6+C8+C10+C12+C14+C16+C18+C20+C22+C24+C26+C28+C30+C32</f>
        <v>0</v>
      </c>
      <c r="D2" s="2">
        <f t="shared" ref="D2:AE2" si="0">D4+D6+D8+D10+D12+D14+D16+D18+D20+D22+D24+D26+D28+D30+D32</f>
        <v>38.5</v>
      </c>
      <c r="E2" s="2">
        <f t="shared" si="0"/>
        <v>5.37</v>
      </c>
      <c r="F2" s="2">
        <f t="shared" si="0"/>
        <v>24.01</v>
      </c>
      <c r="G2" s="2">
        <f t="shared" si="0"/>
        <v>21.2</v>
      </c>
      <c r="H2" s="2">
        <f>H4+H6+H8+H10+H12+H14+H16+H18+H20+H22+H24+H26+H28+H30+H32</f>
        <v>13.12</v>
      </c>
      <c r="I2" s="12">
        <f t="shared" si="0"/>
        <v>0</v>
      </c>
      <c r="J2" s="12">
        <f t="shared" si="0"/>
        <v>0</v>
      </c>
      <c r="K2" s="2">
        <f t="shared" si="0"/>
        <v>38.549999999999997</v>
      </c>
      <c r="L2" s="2">
        <f t="shared" si="0"/>
        <v>38.5</v>
      </c>
      <c r="M2" s="2">
        <f t="shared" si="0"/>
        <v>30.53</v>
      </c>
      <c r="N2" s="2">
        <f t="shared" si="0"/>
        <v>8.4</v>
      </c>
      <c r="O2" s="2">
        <f t="shared" si="0"/>
        <v>28.42</v>
      </c>
      <c r="P2" s="12">
        <f t="shared" si="0"/>
        <v>0</v>
      </c>
      <c r="Q2" s="12">
        <f t="shared" si="0"/>
        <v>0</v>
      </c>
      <c r="R2" s="2">
        <f t="shared" si="0"/>
        <v>30.8</v>
      </c>
      <c r="S2" s="2">
        <f>S4+S6+S8+S10+S12+S14+S16+S18+S20+S22+S24+S26+S28+S30+S32</f>
        <v>39.200000000000003</v>
      </c>
      <c r="T2" s="2">
        <f>T4+T6+T8+T10+T12+T14+T16+T18+T20+T22+T24+T26+T28+T30+T32</f>
        <v>22</v>
      </c>
      <c r="U2" s="2">
        <f t="shared" si="0"/>
        <v>39.200000000000003</v>
      </c>
      <c r="V2" s="2">
        <f t="shared" si="0"/>
        <v>28.57</v>
      </c>
      <c r="W2" s="12">
        <f t="shared" si="0"/>
        <v>0</v>
      </c>
      <c r="X2" s="12">
        <f t="shared" si="0"/>
        <v>0</v>
      </c>
      <c r="Y2" s="2">
        <f t="shared" si="0"/>
        <v>36.200000000000003</v>
      </c>
      <c r="Z2" s="2">
        <f t="shared" si="0"/>
        <v>32.6</v>
      </c>
      <c r="AA2" s="2">
        <f>AA4+AA6+AA8+AA10+AA12+AA14+AA16+AA18+AA20+AA22+AA24+AA26+AA28+AA30+AA32</f>
        <v>0</v>
      </c>
      <c r="AB2" s="2">
        <f t="shared" si="0"/>
        <v>2.6</v>
      </c>
      <c r="AC2" s="2">
        <f t="shared" si="0"/>
        <v>0</v>
      </c>
      <c r="AD2" s="12">
        <f t="shared" si="0"/>
        <v>0</v>
      </c>
      <c r="AE2" s="12">
        <f t="shared" si="0"/>
        <v>0</v>
      </c>
    </row>
    <row r="3" spans="1:31" x14ac:dyDescent="0.3">
      <c r="A3" s="3" t="s">
        <v>1</v>
      </c>
      <c r="B3" s="12"/>
      <c r="C3" s="12"/>
      <c r="D3" s="89" t="s">
        <v>2</v>
      </c>
      <c r="E3" s="8" t="s">
        <v>901</v>
      </c>
      <c r="F3" s="8" t="s">
        <v>744</v>
      </c>
      <c r="G3" s="8" t="s">
        <v>898</v>
      </c>
      <c r="H3" s="8" t="s">
        <v>925</v>
      </c>
      <c r="I3" s="12"/>
      <c r="J3" s="12"/>
      <c r="K3" s="89" t="s">
        <v>2</v>
      </c>
      <c r="L3" s="8" t="s">
        <v>897</v>
      </c>
      <c r="M3" s="8" t="s">
        <v>746</v>
      </c>
      <c r="N3" s="8" t="s">
        <v>747</v>
      </c>
      <c r="O3" s="8" t="s">
        <v>748</v>
      </c>
      <c r="P3" s="12"/>
      <c r="Q3" s="12"/>
      <c r="R3" s="89" t="s">
        <v>2</v>
      </c>
      <c r="S3" s="8" t="s">
        <v>749</v>
      </c>
      <c r="T3" s="19" t="s">
        <v>750</v>
      </c>
      <c r="U3" s="8" t="s">
        <v>751</v>
      </c>
      <c r="V3" s="19" t="s">
        <v>752</v>
      </c>
      <c r="W3" s="12"/>
      <c r="X3" s="12"/>
      <c r="Y3" s="89" t="s">
        <v>2</v>
      </c>
      <c r="Z3" s="8" t="s">
        <v>909</v>
      </c>
      <c r="AA3" s="8"/>
      <c r="AB3" s="8"/>
      <c r="AC3" s="8"/>
      <c r="AD3" s="12"/>
      <c r="AE3" s="12"/>
    </row>
    <row r="4" spans="1:31" x14ac:dyDescent="0.3">
      <c r="A4" s="4" t="s">
        <v>13</v>
      </c>
      <c r="B4" s="12"/>
      <c r="C4" s="12"/>
      <c r="D4" s="90">
        <v>20</v>
      </c>
      <c r="E4" s="7">
        <v>2.77</v>
      </c>
      <c r="F4" s="7">
        <v>2.6</v>
      </c>
      <c r="G4" s="7">
        <v>8.5299999999999994</v>
      </c>
      <c r="H4" s="7">
        <v>5.52</v>
      </c>
      <c r="I4" s="12"/>
      <c r="J4" s="12"/>
      <c r="K4" s="90">
        <v>20</v>
      </c>
      <c r="L4" s="7">
        <v>21.5</v>
      </c>
      <c r="M4" s="7">
        <v>2.8</v>
      </c>
      <c r="N4" s="7">
        <v>5.8</v>
      </c>
      <c r="O4" s="7">
        <v>17.100000000000001</v>
      </c>
      <c r="P4" s="12"/>
      <c r="Q4" s="12"/>
      <c r="R4" s="90">
        <v>20</v>
      </c>
      <c r="S4" s="7">
        <v>18.399999999999999</v>
      </c>
      <c r="T4" s="20">
        <v>6.8</v>
      </c>
      <c r="U4" s="7">
        <v>39.200000000000003</v>
      </c>
      <c r="V4" s="20">
        <v>20.6</v>
      </c>
      <c r="W4" s="12"/>
      <c r="X4" s="12"/>
      <c r="Y4" s="90">
        <v>20</v>
      </c>
      <c r="Z4" s="7">
        <v>30</v>
      </c>
      <c r="AA4" s="7"/>
      <c r="AB4" s="7"/>
      <c r="AC4" s="7"/>
      <c r="AD4" s="12"/>
      <c r="AE4" s="12"/>
    </row>
    <row r="5" spans="1:31" x14ac:dyDescent="0.3">
      <c r="A5" s="3" t="s">
        <v>1</v>
      </c>
      <c r="B5" s="12"/>
      <c r="C5" s="12"/>
      <c r="D5" s="91" t="s">
        <v>14</v>
      </c>
      <c r="E5" s="8" t="s">
        <v>921</v>
      </c>
      <c r="F5" s="8" t="s">
        <v>927</v>
      </c>
      <c r="G5" s="8" t="s">
        <v>926</v>
      </c>
      <c r="H5" s="8"/>
      <c r="I5" s="12"/>
      <c r="J5" s="12"/>
      <c r="K5" s="91" t="s">
        <v>14</v>
      </c>
      <c r="L5" s="19" t="s">
        <v>916</v>
      </c>
      <c r="M5" s="19" t="s">
        <v>918</v>
      </c>
      <c r="N5" s="8" t="s">
        <v>913</v>
      </c>
      <c r="O5" s="8" t="s">
        <v>754</v>
      </c>
      <c r="P5" s="12"/>
      <c r="Q5" s="12"/>
      <c r="R5" s="91" t="s">
        <v>14</v>
      </c>
      <c r="S5" s="8" t="s">
        <v>755</v>
      </c>
      <c r="T5" s="8" t="s">
        <v>756</v>
      </c>
      <c r="U5" s="8"/>
      <c r="V5" s="8" t="s">
        <v>904</v>
      </c>
      <c r="W5" s="12"/>
      <c r="X5" s="12"/>
      <c r="Y5" s="91" t="s">
        <v>14</v>
      </c>
      <c r="Z5" s="8" t="s">
        <v>941</v>
      </c>
      <c r="AA5" s="8"/>
      <c r="AB5" s="8" t="s">
        <v>757</v>
      </c>
      <c r="AC5" s="8"/>
      <c r="AD5" s="12"/>
      <c r="AE5" s="12"/>
    </row>
    <row r="6" spans="1:31" x14ac:dyDescent="0.3">
      <c r="A6" s="4" t="s">
        <v>13</v>
      </c>
      <c r="B6" s="12"/>
      <c r="C6" s="12"/>
      <c r="D6" s="92">
        <v>4.2</v>
      </c>
      <c r="E6" s="7">
        <v>2.6</v>
      </c>
      <c r="F6" s="7">
        <v>5.6</v>
      </c>
      <c r="G6" s="7">
        <v>5.52</v>
      </c>
      <c r="H6" s="7"/>
      <c r="I6" s="12"/>
      <c r="J6" s="12"/>
      <c r="K6" s="92">
        <v>5</v>
      </c>
      <c r="L6" s="20">
        <v>10.4</v>
      </c>
      <c r="M6" s="20">
        <v>14.4</v>
      </c>
      <c r="N6" s="7">
        <v>2.6</v>
      </c>
      <c r="O6" s="7">
        <v>2.77</v>
      </c>
      <c r="P6" s="12"/>
      <c r="Q6" s="12"/>
      <c r="R6" s="92">
        <v>5</v>
      </c>
      <c r="S6" s="7">
        <v>13.8</v>
      </c>
      <c r="T6" s="7">
        <v>11.2</v>
      </c>
      <c r="U6" s="7"/>
      <c r="V6" s="7">
        <v>2.77</v>
      </c>
      <c r="W6" s="12"/>
      <c r="X6" s="12"/>
      <c r="Y6" s="92">
        <v>5</v>
      </c>
      <c r="Z6" s="7">
        <v>2.6</v>
      </c>
      <c r="AA6" s="7"/>
      <c r="AB6" s="7">
        <v>2.6</v>
      </c>
      <c r="AC6" s="7"/>
      <c r="AD6" s="12"/>
      <c r="AE6" s="12"/>
    </row>
    <row r="7" spans="1:31" x14ac:dyDescent="0.3">
      <c r="A7" s="3" t="s">
        <v>1</v>
      </c>
      <c r="B7" s="12"/>
      <c r="C7" s="12"/>
      <c r="D7" s="8" t="s">
        <v>745</v>
      </c>
      <c r="E7" s="8" t="s">
        <v>912</v>
      </c>
      <c r="F7" s="8" t="s">
        <v>928</v>
      </c>
      <c r="G7" s="8" t="s">
        <v>895</v>
      </c>
      <c r="H7" s="8" t="s">
        <v>938</v>
      </c>
      <c r="I7" s="12"/>
      <c r="J7" s="12"/>
      <c r="K7" s="8" t="s">
        <v>769</v>
      </c>
      <c r="L7" s="8" t="s">
        <v>917</v>
      </c>
      <c r="M7" s="8" t="s">
        <v>931</v>
      </c>
      <c r="N7" s="8"/>
      <c r="O7" s="8" t="s">
        <v>895</v>
      </c>
      <c r="P7" s="12"/>
      <c r="Q7" s="12"/>
      <c r="R7" s="8"/>
      <c r="S7" s="8" t="s">
        <v>759</v>
      </c>
      <c r="T7" s="82" t="s">
        <v>670</v>
      </c>
      <c r="U7" s="8"/>
      <c r="V7" s="8" t="s">
        <v>758</v>
      </c>
      <c r="W7" s="12"/>
      <c r="X7" s="12"/>
      <c r="Y7" s="8" t="s">
        <v>760</v>
      </c>
      <c r="Z7" s="8"/>
      <c r="AA7" s="8"/>
      <c r="AB7" s="8"/>
      <c r="AC7" s="8"/>
      <c r="AD7" s="12"/>
      <c r="AE7" s="12"/>
    </row>
    <row r="8" spans="1:31" x14ac:dyDescent="0.3">
      <c r="A8" s="4" t="s">
        <v>13</v>
      </c>
      <c r="B8" s="12"/>
      <c r="C8" s="12"/>
      <c r="D8" s="7">
        <v>2.6</v>
      </c>
      <c r="E8" s="7"/>
      <c r="F8" s="7">
        <v>2.77</v>
      </c>
      <c r="G8" s="7">
        <v>3.35</v>
      </c>
      <c r="H8" s="7">
        <v>5.2</v>
      </c>
      <c r="I8" s="12"/>
      <c r="J8" s="12"/>
      <c r="K8" s="7">
        <v>2.95</v>
      </c>
      <c r="L8" s="7">
        <v>6.6</v>
      </c>
      <c r="M8" s="7">
        <v>2.93</v>
      </c>
      <c r="N8" s="7"/>
      <c r="O8" s="7">
        <v>3.35</v>
      </c>
      <c r="P8" s="12"/>
      <c r="Q8" s="12"/>
      <c r="R8" s="7"/>
      <c r="S8" s="7">
        <v>7</v>
      </c>
      <c r="T8" s="83">
        <v>1.4</v>
      </c>
      <c r="U8" s="7"/>
      <c r="V8" s="7">
        <v>5.2</v>
      </c>
      <c r="W8" s="12"/>
      <c r="X8" s="12"/>
      <c r="Y8" s="7">
        <v>11.2</v>
      </c>
      <c r="Z8" s="7"/>
      <c r="AA8" s="7"/>
      <c r="AB8" s="7"/>
      <c r="AC8" s="7"/>
      <c r="AD8" s="12"/>
      <c r="AE8" s="12"/>
    </row>
    <row r="9" spans="1:31" x14ac:dyDescent="0.3">
      <c r="A9" s="3" t="s">
        <v>1</v>
      </c>
      <c r="B9" s="12"/>
      <c r="C9" s="12"/>
      <c r="D9" s="17" t="s">
        <v>920</v>
      </c>
      <c r="E9" s="8"/>
      <c r="F9" s="8" t="s">
        <v>929</v>
      </c>
      <c r="G9" s="8" t="s">
        <v>937</v>
      </c>
      <c r="H9" s="8" t="s">
        <v>940</v>
      </c>
      <c r="I9" s="12"/>
      <c r="J9" s="12"/>
      <c r="K9" s="8" t="s">
        <v>915</v>
      </c>
      <c r="L9" s="8"/>
      <c r="M9" s="8" t="s">
        <v>765</v>
      </c>
      <c r="N9" s="8"/>
      <c r="O9" s="8" t="s">
        <v>935</v>
      </c>
      <c r="P9" s="12"/>
      <c r="Q9" s="12"/>
      <c r="R9" s="8" t="s">
        <v>761</v>
      </c>
      <c r="S9" s="8"/>
      <c r="T9" s="8" t="s">
        <v>762</v>
      </c>
      <c r="U9" s="8"/>
      <c r="V9" s="8"/>
      <c r="W9" s="12"/>
      <c r="X9" s="12"/>
      <c r="Y9" s="8"/>
      <c r="Z9" s="8"/>
      <c r="AA9" s="8"/>
      <c r="AB9" s="8"/>
      <c r="AC9" s="8"/>
      <c r="AD9" s="12"/>
      <c r="AE9" s="12"/>
    </row>
    <row r="10" spans="1:31" x14ac:dyDescent="0.3">
      <c r="A10" s="4" t="s">
        <v>13</v>
      </c>
      <c r="B10" s="12"/>
      <c r="C10" s="12"/>
      <c r="D10" s="20">
        <v>11.7</v>
      </c>
      <c r="E10" s="7"/>
      <c r="F10" s="7">
        <v>2.2000000000000002</v>
      </c>
      <c r="G10" s="7">
        <v>2.6</v>
      </c>
      <c r="H10" s="7">
        <v>2.4</v>
      </c>
      <c r="I10" s="12"/>
      <c r="J10" s="12"/>
      <c r="K10" s="7">
        <v>10.6</v>
      </c>
      <c r="L10" s="7"/>
      <c r="M10" s="7">
        <v>10.4</v>
      </c>
      <c r="N10" s="7"/>
      <c r="O10" s="7">
        <v>5.2</v>
      </c>
      <c r="P10" s="12"/>
      <c r="Q10" s="12"/>
      <c r="R10" s="7">
        <v>5.8</v>
      </c>
      <c r="S10" s="7"/>
      <c r="T10" s="7">
        <v>2.6</v>
      </c>
      <c r="U10" s="7"/>
      <c r="V10" s="7"/>
      <c r="W10" s="12"/>
      <c r="X10" s="12"/>
      <c r="Y10" s="7"/>
      <c r="Z10" s="7"/>
      <c r="AA10" s="7"/>
      <c r="AB10" s="7"/>
      <c r="AC10" s="7"/>
      <c r="AD10" s="12"/>
      <c r="AE10" s="12"/>
    </row>
    <row r="11" spans="1:31" x14ac:dyDescent="0.3">
      <c r="A11" s="3" t="s">
        <v>1</v>
      </c>
      <c r="B11" s="12"/>
      <c r="C11" s="12"/>
      <c r="D11" s="8"/>
      <c r="E11" s="8"/>
      <c r="F11" s="8" t="s">
        <v>933</v>
      </c>
      <c r="G11" s="8" t="s">
        <v>939</v>
      </c>
      <c r="H11" s="8"/>
      <c r="I11" s="12"/>
      <c r="J11" s="12"/>
      <c r="K11" s="8"/>
      <c r="L11" s="8"/>
      <c r="M11" s="8"/>
      <c r="N11" s="8"/>
      <c r="O11" s="8"/>
      <c r="P11" s="12"/>
      <c r="Q11" s="12"/>
      <c r="R11" s="8"/>
      <c r="S11" s="8"/>
      <c r="T11" s="8"/>
      <c r="U11" s="8"/>
      <c r="V11" s="8"/>
      <c r="W11" s="12"/>
      <c r="X11" s="12"/>
      <c r="Y11" s="8"/>
      <c r="Z11" s="8"/>
      <c r="AA11" s="8"/>
      <c r="AB11" s="8"/>
      <c r="AC11" s="8"/>
      <c r="AD11" s="12"/>
      <c r="AE11" s="12"/>
    </row>
    <row r="12" spans="1:31" x14ac:dyDescent="0.3">
      <c r="A12" s="4" t="s">
        <v>13</v>
      </c>
      <c r="B12" s="12"/>
      <c r="C12" s="12"/>
      <c r="D12" s="7"/>
      <c r="E12" s="7"/>
      <c r="F12" s="7">
        <v>3.12</v>
      </c>
      <c r="G12" s="7">
        <v>1.2</v>
      </c>
      <c r="H12" s="7"/>
      <c r="I12" s="12"/>
      <c r="J12" s="12"/>
      <c r="K12" s="7"/>
      <c r="L12" s="7"/>
      <c r="M12" s="7"/>
      <c r="N12" s="7"/>
      <c r="O12" s="7"/>
      <c r="P12" s="12"/>
      <c r="Q12" s="12"/>
      <c r="R12" s="7"/>
      <c r="S12" s="7"/>
      <c r="T12" s="7"/>
      <c r="U12" s="7"/>
      <c r="V12" s="7"/>
      <c r="W12" s="12"/>
      <c r="X12" s="12"/>
      <c r="Y12" s="7"/>
      <c r="Z12" s="7"/>
      <c r="AA12" s="7"/>
      <c r="AB12" s="7"/>
      <c r="AC12" s="7"/>
      <c r="AD12" s="12"/>
      <c r="AE12" s="12"/>
    </row>
    <row r="13" spans="1:31" x14ac:dyDescent="0.3">
      <c r="A13" s="3" t="s">
        <v>1</v>
      </c>
      <c r="B13" s="12"/>
      <c r="C13" s="12"/>
      <c r="D13" s="8"/>
      <c r="E13" s="8"/>
      <c r="F13" s="8" t="s">
        <v>934</v>
      </c>
      <c r="G13" s="8"/>
      <c r="H13" s="8"/>
      <c r="I13" s="12"/>
      <c r="J13" s="12"/>
      <c r="K13" s="8"/>
      <c r="L13" s="8"/>
      <c r="M13" s="8"/>
      <c r="N13" s="8"/>
      <c r="O13" s="8"/>
      <c r="P13" s="12"/>
      <c r="Q13" s="12"/>
      <c r="R13" s="8"/>
      <c r="S13" s="8"/>
      <c r="T13" s="8"/>
      <c r="U13" s="8"/>
      <c r="V13" s="8"/>
      <c r="W13" s="12"/>
      <c r="X13" s="12"/>
      <c r="Y13" s="8"/>
      <c r="Z13" s="8"/>
      <c r="AA13" s="8"/>
      <c r="AB13" s="8"/>
      <c r="AC13" s="8"/>
      <c r="AD13" s="12"/>
      <c r="AE13" s="12"/>
    </row>
    <row r="14" spans="1:31" x14ac:dyDescent="0.3">
      <c r="A14" s="4" t="s">
        <v>13</v>
      </c>
      <c r="B14" s="12"/>
      <c r="C14" s="12"/>
      <c r="D14" s="7"/>
      <c r="E14" s="7"/>
      <c r="F14" s="7">
        <v>4.5999999999999996</v>
      </c>
      <c r="G14" s="7"/>
      <c r="H14" s="7"/>
      <c r="I14" s="12"/>
      <c r="J14" s="12"/>
      <c r="K14" s="7"/>
      <c r="L14" s="7"/>
      <c r="M14" s="7"/>
      <c r="N14" s="7"/>
      <c r="O14" s="7"/>
      <c r="P14" s="12"/>
      <c r="Q14" s="12"/>
      <c r="R14" s="7"/>
      <c r="S14" s="7"/>
      <c r="T14" s="7"/>
      <c r="U14" s="7"/>
      <c r="V14" s="7"/>
      <c r="W14" s="12"/>
      <c r="X14" s="12"/>
      <c r="Y14" s="7"/>
      <c r="Z14" s="7"/>
      <c r="AA14" s="7"/>
      <c r="AB14" s="7"/>
      <c r="AC14" s="7"/>
      <c r="AD14" s="12"/>
      <c r="AE14" s="12"/>
    </row>
    <row r="15" spans="1:31" x14ac:dyDescent="0.3">
      <c r="A15" s="3" t="s">
        <v>1</v>
      </c>
      <c r="B15" s="12"/>
      <c r="C15" s="12"/>
      <c r="D15" s="8"/>
      <c r="E15" s="8"/>
      <c r="F15" s="8" t="s">
        <v>936</v>
      </c>
      <c r="G15" s="8"/>
      <c r="H15" s="8"/>
      <c r="I15" s="12"/>
      <c r="J15" s="12"/>
      <c r="K15" s="8"/>
      <c r="L15" s="8"/>
      <c r="M15" s="8"/>
      <c r="N15" s="8"/>
      <c r="O15" s="8"/>
      <c r="P15" s="12"/>
      <c r="Q15" s="12"/>
      <c r="R15" s="8"/>
      <c r="S15" s="8"/>
      <c r="T15" s="8"/>
      <c r="U15" s="8"/>
      <c r="V15" s="8"/>
      <c r="W15" s="12"/>
      <c r="X15" s="12"/>
      <c r="Y15" s="8"/>
      <c r="Z15" s="8"/>
      <c r="AA15" s="8"/>
      <c r="AB15" s="8"/>
      <c r="AC15" s="8"/>
      <c r="AD15" s="12"/>
      <c r="AE15" s="12"/>
    </row>
    <row r="16" spans="1:31" x14ac:dyDescent="0.3">
      <c r="A16" s="4" t="s">
        <v>13</v>
      </c>
      <c r="B16" s="12"/>
      <c r="C16" s="12"/>
      <c r="D16" s="7"/>
      <c r="E16" s="7"/>
      <c r="F16" s="7">
        <v>3.12</v>
      </c>
      <c r="G16" s="7"/>
      <c r="H16" s="7"/>
      <c r="I16" s="12"/>
      <c r="J16" s="12"/>
      <c r="K16" s="7"/>
      <c r="L16" s="7"/>
      <c r="M16" s="7"/>
      <c r="N16" s="7"/>
      <c r="O16" s="7"/>
      <c r="P16" s="12"/>
      <c r="Q16" s="12"/>
      <c r="R16" s="7"/>
      <c r="S16" s="7"/>
      <c r="T16" s="7"/>
      <c r="U16" s="7"/>
      <c r="V16" s="7"/>
      <c r="W16" s="12"/>
      <c r="X16" s="12"/>
      <c r="Y16" s="7"/>
      <c r="Z16" s="7"/>
      <c r="AA16" s="7"/>
      <c r="AB16" s="7"/>
      <c r="AC16" s="7"/>
      <c r="AD16" s="12"/>
      <c r="AE16" s="12"/>
    </row>
    <row r="17" spans="1:31" x14ac:dyDescent="0.3">
      <c r="A17" s="3" t="s">
        <v>1</v>
      </c>
      <c r="B17" s="12"/>
      <c r="C17" s="12"/>
      <c r="D17" s="8"/>
      <c r="E17" s="8"/>
      <c r="F17" s="8"/>
      <c r="G17" s="8"/>
      <c r="H17" s="8"/>
      <c r="I17" s="12"/>
      <c r="J17" s="12"/>
      <c r="K17" s="8"/>
      <c r="L17" s="8"/>
      <c r="M17" s="8"/>
      <c r="N17" s="8"/>
      <c r="O17" s="8"/>
      <c r="P17" s="12"/>
      <c r="Q17" s="12"/>
      <c r="R17" s="8"/>
      <c r="S17" s="8"/>
      <c r="T17" s="8"/>
      <c r="U17" s="8"/>
      <c r="V17" s="8"/>
      <c r="W17" s="12"/>
      <c r="X17" s="12"/>
      <c r="Y17" s="8"/>
      <c r="Z17" s="8"/>
      <c r="AA17" s="8"/>
      <c r="AB17" s="8"/>
      <c r="AC17" s="8"/>
      <c r="AD17" s="12"/>
      <c r="AE17" s="12"/>
    </row>
    <row r="18" spans="1:31" x14ac:dyDescent="0.3">
      <c r="A18" s="4" t="s">
        <v>13</v>
      </c>
      <c r="B18" s="12"/>
      <c r="C18" s="12"/>
      <c r="D18" s="7"/>
      <c r="E18" s="7"/>
      <c r="F18" s="7"/>
      <c r="G18" s="7"/>
      <c r="H18" s="7"/>
      <c r="I18" s="12"/>
      <c r="J18" s="12"/>
      <c r="K18" s="7"/>
      <c r="L18" s="7"/>
      <c r="M18" s="7"/>
      <c r="N18" s="7"/>
      <c r="O18" s="7"/>
      <c r="P18" s="12"/>
      <c r="Q18" s="12"/>
      <c r="R18" s="7"/>
      <c r="S18" s="7"/>
      <c r="T18" s="7"/>
      <c r="U18" s="7"/>
      <c r="V18" s="7"/>
      <c r="W18" s="12"/>
      <c r="X18" s="12"/>
      <c r="Y18" s="7"/>
      <c r="Z18" s="7"/>
      <c r="AA18" s="7"/>
      <c r="AB18" s="7"/>
      <c r="AC18" s="7"/>
      <c r="AD18" s="12"/>
      <c r="AE18" s="12"/>
    </row>
    <row r="19" spans="1:31" x14ac:dyDescent="0.3">
      <c r="A19" s="3" t="s">
        <v>1</v>
      </c>
      <c r="B19" s="12"/>
      <c r="C19" s="12"/>
      <c r="D19" s="8"/>
      <c r="E19" s="8"/>
      <c r="F19" s="8"/>
      <c r="G19" s="8"/>
      <c r="H19" s="8"/>
      <c r="I19" s="12"/>
      <c r="J19" s="12"/>
      <c r="K19" s="8"/>
      <c r="L19" s="8"/>
      <c r="M19" s="8"/>
      <c r="N19" s="8"/>
      <c r="O19" s="8"/>
      <c r="P19" s="12"/>
      <c r="Q19" s="12"/>
      <c r="R19" s="8"/>
      <c r="S19" s="8"/>
      <c r="T19" s="8"/>
      <c r="U19" s="8"/>
      <c r="V19" s="8"/>
      <c r="W19" s="12"/>
      <c r="X19" s="12"/>
      <c r="Y19" s="8"/>
      <c r="Z19" s="8"/>
      <c r="AA19" s="8"/>
      <c r="AB19" s="8"/>
      <c r="AC19" s="8"/>
      <c r="AD19" s="12"/>
      <c r="AE19" s="12"/>
    </row>
    <row r="20" spans="1:31" x14ac:dyDescent="0.3">
      <c r="A20" s="4" t="s">
        <v>13</v>
      </c>
      <c r="B20" s="12"/>
      <c r="C20" s="12"/>
      <c r="D20" s="7"/>
      <c r="E20" s="7"/>
      <c r="F20" s="7"/>
      <c r="G20" s="7"/>
      <c r="H20" s="7"/>
      <c r="I20" s="12"/>
      <c r="J20" s="12"/>
      <c r="K20" s="7"/>
      <c r="L20" s="7"/>
      <c r="M20" s="7"/>
      <c r="N20" s="7"/>
      <c r="O20" s="7"/>
      <c r="P20" s="12"/>
      <c r="Q20" s="12"/>
      <c r="R20" s="7"/>
      <c r="S20" s="7"/>
      <c r="T20" s="7"/>
      <c r="U20" s="7"/>
      <c r="V20" s="7"/>
      <c r="W20" s="12"/>
      <c r="X20" s="12"/>
      <c r="Y20" s="7"/>
      <c r="Z20" s="7"/>
      <c r="AA20" s="7"/>
      <c r="AB20" s="7"/>
      <c r="AC20" s="7"/>
      <c r="AD20" s="12"/>
      <c r="AE20" s="12"/>
    </row>
    <row r="21" spans="1:31" x14ac:dyDescent="0.3">
      <c r="A21" s="3" t="s">
        <v>1</v>
      </c>
      <c r="B21" s="12"/>
      <c r="C21" s="12"/>
      <c r="D21" s="8"/>
      <c r="E21" s="8"/>
      <c r="F21" s="8"/>
      <c r="G21" s="8"/>
      <c r="H21" s="8"/>
      <c r="I21" s="12"/>
      <c r="J21" s="12"/>
      <c r="K21" s="8"/>
      <c r="L21" s="8"/>
      <c r="M21" s="8"/>
      <c r="N21" s="8"/>
      <c r="O21" s="8"/>
      <c r="P21" s="12"/>
      <c r="Q21" s="12"/>
      <c r="R21" s="8"/>
      <c r="S21" s="8"/>
      <c r="T21" s="8"/>
      <c r="U21" s="8"/>
      <c r="V21" s="8"/>
      <c r="W21" s="12"/>
      <c r="X21" s="12"/>
      <c r="Y21" s="8"/>
      <c r="Z21" s="8"/>
      <c r="AA21" s="8"/>
      <c r="AB21" s="8"/>
      <c r="AC21" s="8"/>
      <c r="AD21" s="12"/>
      <c r="AE21" s="12"/>
    </row>
    <row r="22" spans="1:31" x14ac:dyDescent="0.3">
      <c r="A22" s="4" t="s">
        <v>13</v>
      </c>
      <c r="B22" s="12"/>
      <c r="C22" s="12"/>
      <c r="D22" s="7"/>
      <c r="E22" s="7"/>
      <c r="F22" s="7"/>
      <c r="G22" s="7"/>
      <c r="H22" s="7"/>
      <c r="I22" s="12"/>
      <c r="J22" s="12"/>
      <c r="K22" s="7"/>
      <c r="L22" s="7"/>
      <c r="M22" s="7"/>
      <c r="N22" s="7"/>
      <c r="O22" s="7"/>
      <c r="P22" s="12"/>
      <c r="Q22" s="12"/>
      <c r="R22" s="7"/>
      <c r="S22" s="7"/>
      <c r="T22" s="7"/>
      <c r="U22" s="7"/>
      <c r="V22" s="7"/>
      <c r="W22" s="12"/>
      <c r="X22" s="12"/>
      <c r="Y22" s="7"/>
      <c r="Z22" s="7"/>
      <c r="AA22" s="7"/>
      <c r="AB22" s="7"/>
      <c r="AC22" s="7"/>
      <c r="AD22" s="12"/>
      <c r="AE22" s="12"/>
    </row>
    <row r="23" spans="1:31" x14ac:dyDescent="0.3">
      <c r="A23" s="3" t="s">
        <v>1</v>
      </c>
      <c r="B23" s="12"/>
      <c r="C23" s="12"/>
      <c r="D23" s="8"/>
      <c r="E23" s="8"/>
      <c r="F23" s="8"/>
      <c r="G23" s="8"/>
      <c r="H23" s="8"/>
      <c r="I23" s="12"/>
      <c r="J23" s="12"/>
      <c r="K23" s="8"/>
      <c r="L23" s="8"/>
      <c r="M23" s="8"/>
      <c r="N23" s="8"/>
      <c r="O23" s="8"/>
      <c r="P23" s="12"/>
      <c r="Q23" s="12"/>
      <c r="R23" s="8"/>
      <c r="S23" s="8"/>
      <c r="T23" s="8"/>
      <c r="U23" s="8"/>
      <c r="V23" s="8"/>
      <c r="W23" s="12"/>
      <c r="X23" s="12"/>
      <c r="Y23" s="8"/>
      <c r="Z23" s="8"/>
      <c r="AA23" s="8"/>
      <c r="AB23" s="8"/>
      <c r="AC23" s="8"/>
      <c r="AD23" s="12"/>
      <c r="AE23" s="12"/>
    </row>
    <row r="24" spans="1:31" x14ac:dyDescent="0.3">
      <c r="A24" s="4" t="s">
        <v>13</v>
      </c>
      <c r="B24" s="12"/>
      <c r="C24" s="12"/>
      <c r="D24" s="7"/>
      <c r="E24" s="7"/>
      <c r="F24" s="7"/>
      <c r="G24" s="7"/>
      <c r="H24" s="7"/>
      <c r="I24" s="12"/>
      <c r="J24" s="12"/>
      <c r="K24" s="7"/>
      <c r="L24" s="7"/>
      <c r="M24" s="7"/>
      <c r="N24" s="7"/>
      <c r="O24" s="7"/>
      <c r="P24" s="12"/>
      <c r="Q24" s="12"/>
      <c r="R24" s="7"/>
      <c r="S24" s="7"/>
      <c r="T24" s="7"/>
      <c r="U24" s="7"/>
      <c r="V24" s="7"/>
      <c r="W24" s="12"/>
      <c r="X24" s="12"/>
      <c r="Y24" s="7"/>
      <c r="Z24" s="7"/>
      <c r="AA24" s="7"/>
      <c r="AB24" s="7"/>
      <c r="AC24" s="7"/>
      <c r="AD24" s="12"/>
      <c r="AE24" s="12"/>
    </row>
    <row r="25" spans="1:31" x14ac:dyDescent="0.3">
      <c r="A25" s="3" t="s">
        <v>1</v>
      </c>
      <c r="B25" s="12"/>
      <c r="C25" s="12"/>
      <c r="D25" s="8"/>
      <c r="E25" s="8"/>
      <c r="F25" s="8"/>
      <c r="G25" s="8"/>
      <c r="H25" s="8"/>
      <c r="I25" s="12"/>
      <c r="J25" s="12"/>
      <c r="K25" s="8"/>
      <c r="L25" s="8"/>
      <c r="M25" s="8"/>
      <c r="N25" s="8"/>
      <c r="O25" s="8"/>
      <c r="P25" s="12"/>
      <c r="Q25" s="12"/>
      <c r="R25" s="8"/>
      <c r="S25" s="8"/>
      <c r="T25" s="8"/>
      <c r="U25" s="8"/>
      <c r="V25" s="8"/>
      <c r="W25" s="12"/>
      <c r="X25" s="12"/>
      <c r="Y25" s="8"/>
      <c r="Z25" s="8"/>
      <c r="AA25" s="8"/>
      <c r="AB25" s="8"/>
      <c r="AC25" s="8"/>
      <c r="AD25" s="12"/>
      <c r="AE25" s="12"/>
    </row>
    <row r="26" spans="1:31" x14ac:dyDescent="0.3">
      <c r="A26" s="4" t="s">
        <v>13</v>
      </c>
      <c r="B26" s="12"/>
      <c r="C26" s="12"/>
      <c r="D26" s="7"/>
      <c r="E26" s="7"/>
      <c r="F26" s="7"/>
      <c r="G26" s="7"/>
      <c r="H26" s="7"/>
      <c r="I26" s="12"/>
      <c r="J26" s="12"/>
      <c r="K26" s="7"/>
      <c r="L26" s="7"/>
      <c r="M26" s="7"/>
      <c r="N26" s="7"/>
      <c r="O26" s="7"/>
      <c r="P26" s="12"/>
      <c r="Q26" s="12"/>
      <c r="R26" s="7"/>
      <c r="S26" s="7"/>
      <c r="T26" s="7"/>
      <c r="U26" s="7"/>
      <c r="V26" s="7"/>
      <c r="W26" s="12"/>
      <c r="X26" s="12"/>
      <c r="Y26" s="7"/>
      <c r="Z26" s="7"/>
      <c r="AA26" s="7"/>
      <c r="AB26" s="7"/>
      <c r="AC26" s="7"/>
      <c r="AD26" s="12"/>
      <c r="AE26" s="12"/>
    </row>
    <row r="27" spans="1:31" x14ac:dyDescent="0.3">
      <c r="A27" s="3" t="s">
        <v>1</v>
      </c>
      <c r="B27" s="12"/>
      <c r="C27" s="12"/>
      <c r="D27" s="8"/>
      <c r="E27" s="8"/>
      <c r="F27" s="8"/>
      <c r="G27" s="8"/>
      <c r="H27" s="8"/>
      <c r="I27" s="12"/>
      <c r="J27" s="12"/>
      <c r="K27" s="8"/>
      <c r="L27" s="8"/>
      <c r="M27" s="8"/>
      <c r="N27" s="8"/>
      <c r="O27" s="8"/>
      <c r="P27" s="12"/>
      <c r="Q27" s="12"/>
      <c r="R27" s="8"/>
      <c r="S27" s="8"/>
      <c r="T27" s="8"/>
      <c r="U27" s="8"/>
      <c r="V27" s="8"/>
      <c r="W27" s="12"/>
      <c r="X27" s="12"/>
      <c r="Y27" s="8"/>
      <c r="Z27" s="8"/>
      <c r="AA27" s="8"/>
      <c r="AB27" s="8"/>
      <c r="AC27" s="8"/>
      <c r="AD27" s="12"/>
      <c r="AE27" s="12"/>
    </row>
    <row r="28" spans="1:31" x14ac:dyDescent="0.3">
      <c r="A28" s="4" t="s">
        <v>13</v>
      </c>
      <c r="B28" s="12"/>
      <c r="C28" s="12"/>
      <c r="D28" s="7"/>
      <c r="E28" s="7"/>
      <c r="F28" s="7"/>
      <c r="G28" s="7"/>
      <c r="H28" s="7"/>
      <c r="I28" s="12"/>
      <c r="J28" s="12"/>
      <c r="K28" s="7"/>
      <c r="L28" s="7"/>
      <c r="M28" s="7"/>
      <c r="N28" s="7"/>
      <c r="O28" s="7"/>
      <c r="P28" s="12"/>
      <c r="Q28" s="12"/>
      <c r="R28" s="7"/>
      <c r="S28" s="7"/>
      <c r="T28" s="7"/>
      <c r="U28" s="7"/>
      <c r="V28" s="7"/>
      <c r="W28" s="12"/>
      <c r="X28" s="12"/>
      <c r="Y28" s="7"/>
      <c r="Z28" s="7"/>
      <c r="AA28" s="7"/>
      <c r="AB28" s="7"/>
      <c r="AC28" s="7"/>
      <c r="AD28" s="12"/>
      <c r="AE28" s="12"/>
    </row>
    <row r="29" spans="1:31" x14ac:dyDescent="0.3">
      <c r="A29" s="3" t="s">
        <v>1</v>
      </c>
      <c r="B29" s="12"/>
      <c r="C29" s="12"/>
      <c r="D29" s="8"/>
      <c r="E29" s="8"/>
      <c r="F29" s="8"/>
      <c r="G29" s="8"/>
      <c r="H29" s="8"/>
      <c r="I29" s="12"/>
      <c r="J29" s="12"/>
      <c r="K29" s="8"/>
      <c r="L29" s="8"/>
      <c r="M29" s="8"/>
      <c r="N29" s="8"/>
      <c r="O29" s="8"/>
      <c r="P29" s="12"/>
      <c r="Q29" s="12"/>
      <c r="R29" s="8"/>
      <c r="S29" s="8"/>
      <c r="T29" s="8"/>
      <c r="U29" s="8"/>
      <c r="V29" s="8"/>
      <c r="W29" s="12"/>
      <c r="X29" s="12"/>
      <c r="Y29" s="8"/>
      <c r="Z29" s="8"/>
      <c r="AA29" s="8"/>
      <c r="AB29" s="8"/>
      <c r="AC29" s="8"/>
      <c r="AD29" s="12"/>
      <c r="AE29" s="12"/>
    </row>
    <row r="30" spans="1:31" x14ac:dyDescent="0.3">
      <c r="A30" s="4" t="s">
        <v>13</v>
      </c>
      <c r="B30" s="12"/>
      <c r="C30" s="12"/>
      <c r="D30" s="7"/>
      <c r="E30" s="7"/>
      <c r="F30" s="7"/>
      <c r="G30" s="7"/>
      <c r="H30" s="7"/>
      <c r="I30" s="12"/>
      <c r="J30" s="12"/>
      <c r="K30" s="7"/>
      <c r="L30" s="7"/>
      <c r="M30" s="7"/>
      <c r="N30" s="7"/>
      <c r="O30" s="7"/>
      <c r="P30" s="12"/>
      <c r="Q30" s="12"/>
      <c r="R30" s="7"/>
      <c r="S30" s="7"/>
      <c r="T30" s="7"/>
      <c r="U30" s="7"/>
      <c r="V30" s="7"/>
      <c r="W30" s="12"/>
      <c r="X30" s="12"/>
      <c r="Y30" s="7"/>
      <c r="Z30" s="7"/>
      <c r="AA30" s="7"/>
      <c r="AB30" s="7"/>
      <c r="AC30" s="7"/>
      <c r="AD30" s="12"/>
      <c r="AE30" s="12"/>
    </row>
    <row r="31" spans="1:31" x14ac:dyDescent="0.3">
      <c r="A31" s="3" t="s">
        <v>1</v>
      </c>
      <c r="B31" s="12"/>
      <c r="C31" s="12"/>
      <c r="D31" s="8"/>
      <c r="E31" s="8"/>
      <c r="F31" s="8"/>
      <c r="G31" s="8"/>
      <c r="H31" s="8"/>
      <c r="I31" s="12"/>
      <c r="J31" s="12"/>
      <c r="K31" s="8"/>
      <c r="L31" s="8"/>
      <c r="M31" s="8"/>
      <c r="N31" s="8"/>
      <c r="O31" s="8"/>
      <c r="P31" s="12"/>
      <c r="Q31" s="12"/>
      <c r="R31" s="8"/>
      <c r="S31" s="8"/>
      <c r="T31" s="8"/>
      <c r="U31" s="8"/>
      <c r="V31" s="8"/>
      <c r="W31" s="12"/>
      <c r="X31" s="12"/>
      <c r="Y31" s="8"/>
      <c r="Z31" s="8"/>
      <c r="AA31" s="8"/>
      <c r="AB31" s="8"/>
      <c r="AC31" s="8"/>
      <c r="AD31" s="12"/>
      <c r="AE31" s="12"/>
    </row>
    <row r="32" spans="1:31" x14ac:dyDescent="0.3">
      <c r="A32" s="4" t="s">
        <v>13</v>
      </c>
      <c r="B32" s="12"/>
      <c r="C32" s="12"/>
      <c r="D32" s="7"/>
      <c r="E32" s="7"/>
      <c r="F32" s="7"/>
      <c r="G32" s="7"/>
      <c r="H32" s="7"/>
      <c r="I32" s="12"/>
      <c r="J32" s="12"/>
      <c r="K32" s="7"/>
      <c r="L32" s="7"/>
      <c r="M32" s="7"/>
      <c r="N32" s="7"/>
      <c r="O32" s="7"/>
      <c r="P32" s="12"/>
      <c r="Q32" s="12"/>
      <c r="R32" s="7"/>
      <c r="S32" s="7"/>
      <c r="T32" s="7"/>
      <c r="U32" s="7"/>
      <c r="V32" s="7"/>
      <c r="W32" s="12"/>
      <c r="X32" s="12"/>
      <c r="Y32" s="7"/>
      <c r="Z32" s="7"/>
      <c r="AA32" s="7"/>
      <c r="AB32" s="7"/>
      <c r="AC32" s="7"/>
      <c r="AD32" s="12"/>
      <c r="AE32" s="12"/>
    </row>
    <row r="33" spans="1:31" x14ac:dyDescent="0.3">
      <c r="A33" s="9" t="s">
        <v>59</v>
      </c>
      <c r="B33" s="94">
        <f>38.55-B4-B6-B8-B10-B12-B14-B16-B18-B20-B22-B24-B26-B28-B30-B32</f>
        <v>38.549999999999997</v>
      </c>
      <c r="C33" s="94">
        <f t="shared" ref="C33:AE33" si="1">38.55-C4-C6-C8-C10-C12-C14-C16-C18-C20-C22-C24-C26-C28-C30-C32</f>
        <v>38.549999999999997</v>
      </c>
      <c r="D33" s="94">
        <f t="shared" si="1"/>
        <v>4.9999999999998934E-2</v>
      </c>
      <c r="E33" s="93">
        <f t="shared" si="1"/>
        <v>33.179999999999993</v>
      </c>
      <c r="F33" s="93">
        <f t="shared" si="1"/>
        <v>14.539999999999996</v>
      </c>
      <c r="G33" s="93">
        <f t="shared" si="1"/>
        <v>17.349999999999994</v>
      </c>
      <c r="H33" s="93">
        <f t="shared" si="1"/>
        <v>25.430000000000003</v>
      </c>
      <c r="I33" s="94">
        <f t="shared" si="1"/>
        <v>38.549999999999997</v>
      </c>
      <c r="J33" s="94">
        <f t="shared" si="1"/>
        <v>38.549999999999997</v>
      </c>
      <c r="K33" s="94">
        <f t="shared" si="1"/>
        <v>-1.7763568394002505E-15</v>
      </c>
      <c r="L33" s="94">
        <f t="shared" si="1"/>
        <v>4.9999999999997158E-2</v>
      </c>
      <c r="M33" s="93">
        <f t="shared" si="1"/>
        <v>8.0200000000000014</v>
      </c>
      <c r="N33" s="93">
        <f t="shared" si="1"/>
        <v>30.15</v>
      </c>
      <c r="O33" s="93">
        <f t="shared" si="1"/>
        <v>10.129999999999995</v>
      </c>
      <c r="P33" s="94">
        <f t="shared" si="1"/>
        <v>38.549999999999997</v>
      </c>
      <c r="Q33" s="94">
        <f t="shared" si="1"/>
        <v>38.549999999999997</v>
      </c>
      <c r="R33" s="93">
        <f t="shared" si="1"/>
        <v>7.7499999999999973</v>
      </c>
      <c r="S33" s="94">
        <f t="shared" si="1"/>
        <v>-0.65000000000000213</v>
      </c>
      <c r="T33" s="93">
        <f t="shared" si="1"/>
        <v>16.549999999999997</v>
      </c>
      <c r="U33" s="94">
        <f t="shared" si="1"/>
        <v>-0.65000000000000568</v>
      </c>
      <c r="V33" s="93">
        <f t="shared" si="1"/>
        <v>9.9799999999999969</v>
      </c>
      <c r="W33" s="94">
        <f t="shared" si="1"/>
        <v>38.549999999999997</v>
      </c>
      <c r="X33" s="94">
        <f t="shared" si="1"/>
        <v>38.549999999999997</v>
      </c>
      <c r="Y33" s="93">
        <f t="shared" si="1"/>
        <v>2.3499999999999979</v>
      </c>
      <c r="Z33" s="93">
        <f t="shared" si="1"/>
        <v>5.9499999999999975</v>
      </c>
      <c r="AA33" s="93">
        <f t="shared" si="1"/>
        <v>38.549999999999997</v>
      </c>
      <c r="AB33" s="93">
        <f t="shared" si="1"/>
        <v>35.949999999999996</v>
      </c>
      <c r="AC33" s="93">
        <f t="shared" si="1"/>
        <v>38.549999999999997</v>
      </c>
      <c r="AD33" s="94">
        <f t="shared" si="1"/>
        <v>38.549999999999997</v>
      </c>
      <c r="AE33" s="94">
        <f t="shared" si="1"/>
        <v>38.549999999999997</v>
      </c>
    </row>
  </sheetData>
  <conditionalFormatting sqref="B2:AE2">
    <cfRule type="cellIs" dxfId="3" priority="1" operator="equal">
      <formula>40</formula>
    </cfRule>
    <cfRule type="cellIs" dxfId="2" priority="2" operator="greaterThan">
      <formula>40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C533-85AB-49E4-9159-32CC0DABB5A6}">
  <dimension ref="A1:AF33"/>
  <sheetViews>
    <sheetView workbookViewId="0">
      <selection activeCell="C4" sqref="C4"/>
    </sheetView>
  </sheetViews>
  <sheetFormatPr defaultRowHeight="14.4" x14ac:dyDescent="0.3"/>
  <cols>
    <col min="1" max="1" width="16" bestFit="1" customWidth="1"/>
    <col min="3" max="3" width="9.21875" bestFit="1" customWidth="1"/>
    <col min="10" max="10" width="9.33203125" bestFit="1" customWidth="1"/>
  </cols>
  <sheetData>
    <row r="1" spans="1:32" x14ac:dyDescent="0.3">
      <c r="A1" s="3"/>
      <c r="B1" s="6">
        <v>45992</v>
      </c>
      <c r="C1" s="6">
        <v>45993</v>
      </c>
      <c r="D1" s="6">
        <v>45994</v>
      </c>
      <c r="E1" s="6">
        <v>45995</v>
      </c>
      <c r="F1" s="6">
        <v>45996</v>
      </c>
      <c r="G1" s="11">
        <v>45997</v>
      </c>
      <c r="H1" s="11">
        <v>45998</v>
      </c>
      <c r="I1" s="6">
        <v>45999</v>
      </c>
      <c r="J1" s="6">
        <v>46000</v>
      </c>
      <c r="K1" s="6">
        <v>46001</v>
      </c>
      <c r="L1" s="6">
        <v>46002</v>
      </c>
      <c r="M1" s="6">
        <v>46003</v>
      </c>
      <c r="N1" s="11">
        <v>46004</v>
      </c>
      <c r="O1" s="11">
        <v>46005</v>
      </c>
      <c r="P1" s="6">
        <v>46006</v>
      </c>
      <c r="Q1" s="6">
        <v>46007</v>
      </c>
      <c r="R1" s="6">
        <v>46008</v>
      </c>
      <c r="S1" s="6">
        <v>46009</v>
      </c>
      <c r="T1" s="15">
        <v>46010</v>
      </c>
      <c r="U1" s="11">
        <v>46011</v>
      </c>
      <c r="V1" s="11">
        <v>46012</v>
      </c>
      <c r="W1" s="11">
        <v>46013</v>
      </c>
      <c r="X1" s="11">
        <v>46014</v>
      </c>
      <c r="Y1" s="11">
        <v>46015</v>
      </c>
      <c r="Z1" s="11">
        <v>46016</v>
      </c>
      <c r="AA1" s="11">
        <v>46017</v>
      </c>
      <c r="AB1" s="11">
        <v>46018</v>
      </c>
      <c r="AC1" s="11">
        <v>46019</v>
      </c>
      <c r="AD1" s="11">
        <v>46020</v>
      </c>
      <c r="AE1" s="11">
        <v>46021</v>
      </c>
      <c r="AF1" s="11">
        <v>46022</v>
      </c>
    </row>
    <row r="2" spans="1:32" x14ac:dyDescent="0.3">
      <c r="A2" s="1" t="s">
        <v>0</v>
      </c>
      <c r="B2" s="2">
        <f>B4+B6+B8+B10+B12+B14+B16+B18+B20+B22+B24+B26+B28+B30+B32</f>
        <v>32.870000000000005</v>
      </c>
      <c r="C2" s="2">
        <f>C4+C6+C8+C10+C12+C14+C16+C18+C20+C22+C24+C26+C28+C30+C32</f>
        <v>27</v>
      </c>
      <c r="D2" s="2">
        <f t="shared" ref="D2:AF2" si="0">D4+D6+D8+D10+D12+D14+D16+D18+D20+D22+D24+D26+D28+D30+D32</f>
        <v>30</v>
      </c>
      <c r="E2" s="2">
        <f t="shared" si="0"/>
        <v>3.52</v>
      </c>
      <c r="F2" s="2">
        <f t="shared" si="0"/>
        <v>15.6</v>
      </c>
      <c r="G2" s="12">
        <f t="shared" si="0"/>
        <v>0</v>
      </c>
      <c r="H2" s="12">
        <f t="shared" si="0"/>
        <v>0</v>
      </c>
      <c r="I2" s="2">
        <f t="shared" si="0"/>
        <v>38.6</v>
      </c>
      <c r="J2" s="2">
        <f t="shared" si="0"/>
        <v>5.3</v>
      </c>
      <c r="K2" s="2">
        <f t="shared" si="0"/>
        <v>10.4</v>
      </c>
      <c r="L2" s="2">
        <f t="shared" si="0"/>
        <v>0</v>
      </c>
      <c r="M2" s="2">
        <f t="shared" si="0"/>
        <v>0</v>
      </c>
      <c r="N2" s="12">
        <f t="shared" si="0"/>
        <v>0</v>
      </c>
      <c r="O2" s="12">
        <f t="shared" si="0"/>
        <v>0</v>
      </c>
      <c r="P2" s="2">
        <f t="shared" si="0"/>
        <v>25</v>
      </c>
      <c r="Q2" s="2">
        <f t="shared" si="0"/>
        <v>0</v>
      </c>
      <c r="R2" s="2">
        <f t="shared" si="0"/>
        <v>0</v>
      </c>
      <c r="S2" s="2">
        <f>S4+S6+S8+S10+S12+S14+S16+S18+S20+S22+S24+S26+S28+S30+S32</f>
        <v>0</v>
      </c>
      <c r="T2" s="16">
        <f>T4+T6+T8+T10+T12+T14+T16+T18+T20+T22+T24+T26+T28+T30+T32</f>
        <v>0</v>
      </c>
      <c r="U2" s="12">
        <f t="shared" si="0"/>
        <v>0</v>
      </c>
      <c r="V2" s="12">
        <f t="shared" si="0"/>
        <v>0</v>
      </c>
      <c r="W2" s="12">
        <f t="shared" si="0"/>
        <v>0</v>
      </c>
      <c r="X2" s="12">
        <f t="shared" si="0"/>
        <v>0</v>
      </c>
      <c r="Y2" s="12">
        <f t="shared" si="0"/>
        <v>0</v>
      </c>
      <c r="Z2" s="12">
        <f t="shared" si="0"/>
        <v>0</v>
      </c>
      <c r="AA2" s="12">
        <f>AA4+AA6+AA8+AA10+AA12+AA14+AA16+AA18+AA20+AA22+AA24+AA26+AA28+AA30+AA32</f>
        <v>0</v>
      </c>
      <c r="AB2" s="12">
        <f t="shared" si="0"/>
        <v>0</v>
      </c>
      <c r="AC2" s="12">
        <f t="shared" si="0"/>
        <v>0</v>
      </c>
      <c r="AD2" s="12">
        <f t="shared" si="0"/>
        <v>0</v>
      </c>
      <c r="AE2" s="12">
        <f t="shared" si="0"/>
        <v>0</v>
      </c>
      <c r="AF2" s="12">
        <f t="shared" si="0"/>
        <v>0</v>
      </c>
    </row>
    <row r="3" spans="1:32" x14ac:dyDescent="0.3">
      <c r="A3" s="3" t="s">
        <v>1</v>
      </c>
      <c r="B3" s="89" t="s">
        <v>2</v>
      </c>
      <c r="C3" s="8" t="s">
        <v>690</v>
      </c>
      <c r="D3" s="8" t="s">
        <v>763</v>
      </c>
      <c r="E3" s="8" t="s">
        <v>764</v>
      </c>
      <c r="F3" s="8" t="s">
        <v>766</v>
      </c>
      <c r="G3" s="12"/>
      <c r="H3" s="12"/>
      <c r="I3" s="89" t="s">
        <v>2</v>
      </c>
      <c r="J3" s="19" t="s">
        <v>930</v>
      </c>
      <c r="K3" s="8"/>
      <c r="L3" s="8"/>
      <c r="M3" s="8"/>
      <c r="N3" s="12"/>
      <c r="O3" s="12"/>
      <c r="P3" s="89" t="s">
        <v>2</v>
      </c>
      <c r="Q3" s="8"/>
      <c r="R3" s="8"/>
      <c r="S3" s="8"/>
      <c r="T3" s="16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x14ac:dyDescent="0.3">
      <c r="A4" s="4" t="s">
        <v>13</v>
      </c>
      <c r="B4" s="90">
        <v>20</v>
      </c>
      <c r="C4" s="65">
        <v>27</v>
      </c>
      <c r="D4" s="7">
        <v>30</v>
      </c>
      <c r="E4" s="7">
        <v>3.52</v>
      </c>
      <c r="F4" s="7">
        <v>15.6</v>
      </c>
      <c r="G4" s="12"/>
      <c r="H4" s="12"/>
      <c r="I4" s="90">
        <v>20</v>
      </c>
      <c r="J4" s="20">
        <v>5.3</v>
      </c>
      <c r="K4" s="7"/>
      <c r="L4" s="7"/>
      <c r="M4" s="7"/>
      <c r="N4" s="12"/>
      <c r="O4" s="12"/>
      <c r="P4" s="90">
        <v>20</v>
      </c>
      <c r="Q4" s="7"/>
      <c r="R4" s="7"/>
      <c r="S4" s="7"/>
      <c r="T4" s="16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3">
      <c r="A5" s="3" t="s">
        <v>1</v>
      </c>
      <c r="B5" s="91" t="s">
        <v>14</v>
      </c>
      <c r="C5" s="8"/>
      <c r="D5" s="8"/>
      <c r="E5" s="8"/>
      <c r="F5" s="8"/>
      <c r="G5" s="12"/>
      <c r="H5" s="12"/>
      <c r="I5" s="91" t="s">
        <v>14</v>
      </c>
      <c r="J5" s="8"/>
      <c r="K5" s="8" t="s">
        <v>932</v>
      </c>
      <c r="L5" s="8"/>
      <c r="M5" s="8"/>
      <c r="N5" s="12"/>
      <c r="O5" s="12"/>
      <c r="P5" s="91" t="s">
        <v>14</v>
      </c>
      <c r="Q5" s="8"/>
      <c r="R5" s="8"/>
      <c r="S5" s="8"/>
      <c r="T5" s="16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x14ac:dyDescent="0.3">
      <c r="A6" s="4" t="s">
        <v>13</v>
      </c>
      <c r="B6" s="92">
        <v>5</v>
      </c>
      <c r="C6" s="7"/>
      <c r="D6" s="7"/>
      <c r="E6" s="7"/>
      <c r="F6" s="7"/>
      <c r="G6" s="12"/>
      <c r="H6" s="12"/>
      <c r="I6" s="92">
        <v>5</v>
      </c>
      <c r="J6" s="7"/>
      <c r="K6" s="7">
        <v>10.4</v>
      </c>
      <c r="L6" s="7"/>
      <c r="M6" s="7"/>
      <c r="N6" s="12"/>
      <c r="O6" s="12"/>
      <c r="P6" s="92">
        <v>5</v>
      </c>
      <c r="Q6" s="7"/>
      <c r="R6" s="7"/>
      <c r="S6" s="7"/>
      <c r="T6" s="16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x14ac:dyDescent="0.3">
      <c r="A7" s="3" t="s">
        <v>1</v>
      </c>
      <c r="B7" s="8" t="s">
        <v>767</v>
      </c>
      <c r="C7" s="8"/>
      <c r="D7" s="8"/>
      <c r="E7" s="8"/>
      <c r="F7" s="8"/>
      <c r="G7" s="12"/>
      <c r="H7" s="12"/>
      <c r="I7" s="8" t="s">
        <v>768</v>
      </c>
      <c r="J7" s="8"/>
      <c r="K7" s="8"/>
      <c r="L7" s="8"/>
      <c r="M7" s="8"/>
      <c r="N7" s="12"/>
      <c r="O7" s="12"/>
      <c r="P7" s="8"/>
      <c r="Q7" s="8"/>
      <c r="R7" s="8"/>
      <c r="S7" s="8"/>
      <c r="T7" s="16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x14ac:dyDescent="0.3">
      <c r="A8" s="4" t="s">
        <v>13</v>
      </c>
      <c r="B8" s="7">
        <v>5.0999999999999996</v>
      </c>
      <c r="C8" s="7"/>
      <c r="D8" s="7"/>
      <c r="E8" s="7"/>
      <c r="F8" s="7"/>
      <c r="G8" s="12"/>
      <c r="H8" s="12"/>
      <c r="I8" s="7">
        <v>7.7</v>
      </c>
      <c r="J8" s="7"/>
      <c r="K8" s="7"/>
      <c r="L8" s="7"/>
      <c r="M8" s="7"/>
      <c r="N8" s="12"/>
      <c r="O8" s="12"/>
      <c r="P8" s="7"/>
      <c r="Q8" s="7"/>
      <c r="R8" s="7"/>
      <c r="S8" s="7"/>
      <c r="T8" s="16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3">
      <c r="A9" s="3" t="s">
        <v>1</v>
      </c>
      <c r="B9" s="8" t="s">
        <v>900</v>
      </c>
      <c r="C9" s="8"/>
      <c r="D9" s="8"/>
      <c r="E9" s="8"/>
      <c r="F9" s="8"/>
      <c r="G9" s="12"/>
      <c r="H9" s="12"/>
      <c r="I9" s="8" t="s">
        <v>753</v>
      </c>
      <c r="J9" s="8"/>
      <c r="K9" s="8"/>
      <c r="L9" s="8"/>
      <c r="M9" s="8"/>
      <c r="N9" s="12"/>
      <c r="O9" s="12"/>
      <c r="P9" s="8"/>
      <c r="Q9" s="8"/>
      <c r="R9" s="8"/>
      <c r="S9" s="8"/>
      <c r="T9" s="16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3">
      <c r="A10" s="4" t="s">
        <v>13</v>
      </c>
      <c r="B10" s="7">
        <v>2.77</v>
      </c>
      <c r="C10" s="7"/>
      <c r="D10" s="7"/>
      <c r="E10" s="7"/>
      <c r="F10" s="7"/>
      <c r="G10" s="12"/>
      <c r="H10" s="12"/>
      <c r="I10" s="7">
        <v>5.9</v>
      </c>
      <c r="J10" s="7"/>
      <c r="K10" s="7"/>
      <c r="L10" s="7"/>
      <c r="M10" s="7"/>
      <c r="N10" s="12"/>
      <c r="O10" s="12"/>
      <c r="P10" s="7"/>
      <c r="Q10" s="7"/>
      <c r="R10" s="7"/>
      <c r="S10" s="7"/>
      <c r="T10" s="16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3">
      <c r="A11" s="3" t="s">
        <v>1</v>
      </c>
      <c r="B11" s="8"/>
      <c r="C11" s="8"/>
      <c r="D11" s="8"/>
      <c r="E11" s="8"/>
      <c r="F11" s="8"/>
      <c r="G11" s="12"/>
      <c r="H11" s="12"/>
      <c r="I11" s="8"/>
      <c r="J11" s="8"/>
      <c r="K11" s="8"/>
      <c r="L11" s="8"/>
      <c r="M11" s="8"/>
      <c r="N11" s="12"/>
      <c r="O11" s="12"/>
      <c r="P11" s="8"/>
      <c r="Q11" s="8"/>
      <c r="R11" s="8"/>
      <c r="S11" s="8"/>
      <c r="T11" s="16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3">
      <c r="A12" s="4" t="s">
        <v>13</v>
      </c>
      <c r="B12" s="7"/>
      <c r="C12" s="7"/>
      <c r="D12" s="7"/>
      <c r="E12" s="7"/>
      <c r="F12" s="7"/>
      <c r="G12" s="12"/>
      <c r="H12" s="12"/>
      <c r="I12" s="7"/>
      <c r="J12" s="7"/>
      <c r="K12" s="7"/>
      <c r="L12" s="7"/>
      <c r="M12" s="7"/>
      <c r="N12" s="12"/>
      <c r="O12" s="12"/>
      <c r="P12" s="7"/>
      <c r="Q12" s="7"/>
      <c r="R12" s="7"/>
      <c r="S12" s="7"/>
      <c r="T12" s="16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3">
      <c r="A13" s="3" t="s">
        <v>1</v>
      </c>
      <c r="B13" s="8"/>
      <c r="C13" s="8"/>
      <c r="D13" s="8"/>
      <c r="E13" s="8"/>
      <c r="F13" s="8"/>
      <c r="G13" s="12"/>
      <c r="H13" s="12"/>
      <c r="I13" s="8"/>
      <c r="J13" s="8"/>
      <c r="K13" s="8"/>
      <c r="L13" s="8"/>
      <c r="M13" s="8"/>
      <c r="N13" s="12"/>
      <c r="O13" s="12"/>
      <c r="P13" s="8"/>
      <c r="Q13" s="8"/>
      <c r="R13" s="8"/>
      <c r="S13" s="8"/>
      <c r="T13" s="16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3">
      <c r="A14" s="4" t="s">
        <v>13</v>
      </c>
      <c r="B14" s="7"/>
      <c r="C14" s="7"/>
      <c r="D14" s="7"/>
      <c r="E14" s="7"/>
      <c r="F14" s="7"/>
      <c r="G14" s="12"/>
      <c r="H14" s="12"/>
      <c r="I14" s="7"/>
      <c r="J14" s="7"/>
      <c r="K14" s="7"/>
      <c r="L14" s="7"/>
      <c r="M14" s="7"/>
      <c r="N14" s="12"/>
      <c r="O14" s="12"/>
      <c r="P14" s="7"/>
      <c r="Q14" s="7"/>
      <c r="R14" s="7"/>
      <c r="S14" s="7"/>
      <c r="T14" s="16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3">
      <c r="A15" s="3" t="s">
        <v>1</v>
      </c>
      <c r="B15" s="8"/>
      <c r="C15" s="8"/>
      <c r="D15" s="8"/>
      <c r="E15" s="8"/>
      <c r="F15" s="8"/>
      <c r="G15" s="12"/>
      <c r="H15" s="12"/>
      <c r="I15" s="8"/>
      <c r="J15" s="8"/>
      <c r="K15" s="8"/>
      <c r="L15" s="8"/>
      <c r="M15" s="8"/>
      <c r="N15" s="12"/>
      <c r="O15" s="12"/>
      <c r="P15" s="8"/>
      <c r="Q15" s="8"/>
      <c r="R15" s="8"/>
      <c r="S15" s="8"/>
      <c r="T15" s="16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3">
      <c r="A16" s="4" t="s">
        <v>13</v>
      </c>
      <c r="B16" s="7"/>
      <c r="C16" s="7"/>
      <c r="D16" s="7"/>
      <c r="E16" s="7"/>
      <c r="F16" s="7"/>
      <c r="G16" s="12"/>
      <c r="H16" s="12"/>
      <c r="I16" s="7"/>
      <c r="J16" s="7"/>
      <c r="K16" s="7"/>
      <c r="L16" s="7"/>
      <c r="M16" s="7"/>
      <c r="N16" s="12"/>
      <c r="O16" s="12"/>
      <c r="P16" s="7"/>
      <c r="Q16" s="7"/>
      <c r="R16" s="7"/>
      <c r="S16" s="7"/>
      <c r="T16" s="16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3">
      <c r="A17" s="3" t="s">
        <v>1</v>
      </c>
      <c r="B17" s="8"/>
      <c r="C17" s="8"/>
      <c r="D17" s="8"/>
      <c r="E17" s="8"/>
      <c r="F17" s="8"/>
      <c r="G17" s="12"/>
      <c r="H17" s="12"/>
      <c r="I17" s="8"/>
      <c r="J17" s="8"/>
      <c r="K17" s="8"/>
      <c r="L17" s="8"/>
      <c r="M17" s="8"/>
      <c r="N17" s="12"/>
      <c r="O17" s="12"/>
      <c r="P17" s="8"/>
      <c r="Q17" s="8"/>
      <c r="R17" s="8"/>
      <c r="S17" s="8"/>
      <c r="T17" s="16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3">
      <c r="A18" s="4" t="s">
        <v>13</v>
      </c>
      <c r="B18" s="7"/>
      <c r="C18" s="7"/>
      <c r="D18" s="7"/>
      <c r="E18" s="7"/>
      <c r="F18" s="7"/>
      <c r="G18" s="12"/>
      <c r="H18" s="12"/>
      <c r="I18" s="7"/>
      <c r="J18" s="7"/>
      <c r="K18" s="7"/>
      <c r="L18" s="7"/>
      <c r="M18" s="7"/>
      <c r="N18" s="12"/>
      <c r="O18" s="12"/>
      <c r="P18" s="7"/>
      <c r="Q18" s="7"/>
      <c r="R18" s="7"/>
      <c r="S18" s="7"/>
      <c r="T18" s="16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3">
      <c r="A19" s="3" t="s">
        <v>1</v>
      </c>
      <c r="B19" s="8"/>
      <c r="C19" s="8"/>
      <c r="D19" s="8"/>
      <c r="E19" s="8"/>
      <c r="F19" s="8"/>
      <c r="G19" s="12"/>
      <c r="H19" s="12"/>
      <c r="I19" s="8"/>
      <c r="J19" s="8"/>
      <c r="K19" s="8"/>
      <c r="L19" s="8"/>
      <c r="M19" s="8"/>
      <c r="N19" s="12"/>
      <c r="O19" s="12"/>
      <c r="P19" s="8"/>
      <c r="Q19" s="8"/>
      <c r="R19" s="8"/>
      <c r="S19" s="8"/>
      <c r="T19" s="16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3">
      <c r="A20" s="4" t="s">
        <v>13</v>
      </c>
      <c r="B20" s="7"/>
      <c r="C20" s="7"/>
      <c r="D20" s="7"/>
      <c r="E20" s="7"/>
      <c r="F20" s="7"/>
      <c r="G20" s="12"/>
      <c r="H20" s="12"/>
      <c r="I20" s="7"/>
      <c r="J20" s="7"/>
      <c r="K20" s="7"/>
      <c r="L20" s="7"/>
      <c r="M20" s="7"/>
      <c r="N20" s="12"/>
      <c r="O20" s="12"/>
      <c r="P20" s="7"/>
      <c r="Q20" s="7"/>
      <c r="R20" s="7"/>
      <c r="S20" s="7"/>
      <c r="T20" s="16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3">
      <c r="A21" s="3" t="s">
        <v>1</v>
      </c>
      <c r="B21" s="8"/>
      <c r="C21" s="8"/>
      <c r="D21" s="8"/>
      <c r="E21" s="8"/>
      <c r="F21" s="8"/>
      <c r="G21" s="12"/>
      <c r="H21" s="12"/>
      <c r="I21" s="8"/>
      <c r="J21" s="8"/>
      <c r="K21" s="8"/>
      <c r="L21" s="8"/>
      <c r="M21" s="8"/>
      <c r="N21" s="12"/>
      <c r="O21" s="12"/>
      <c r="P21" s="8"/>
      <c r="Q21" s="8"/>
      <c r="R21" s="8"/>
      <c r="S21" s="8"/>
      <c r="T21" s="16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3">
      <c r="A22" s="4" t="s">
        <v>13</v>
      </c>
      <c r="B22" s="7"/>
      <c r="C22" s="7"/>
      <c r="D22" s="7"/>
      <c r="E22" s="7"/>
      <c r="F22" s="7"/>
      <c r="G22" s="12"/>
      <c r="H22" s="12"/>
      <c r="I22" s="7"/>
      <c r="J22" s="7"/>
      <c r="K22" s="7"/>
      <c r="L22" s="7"/>
      <c r="M22" s="7"/>
      <c r="N22" s="12"/>
      <c r="O22" s="12"/>
      <c r="P22" s="7"/>
      <c r="Q22" s="7"/>
      <c r="R22" s="7"/>
      <c r="S22" s="7"/>
      <c r="T22" s="16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3">
      <c r="A23" s="3" t="s">
        <v>1</v>
      </c>
      <c r="B23" s="8"/>
      <c r="C23" s="8"/>
      <c r="D23" s="8"/>
      <c r="E23" s="8"/>
      <c r="F23" s="8"/>
      <c r="G23" s="12"/>
      <c r="H23" s="12"/>
      <c r="I23" s="8"/>
      <c r="J23" s="8"/>
      <c r="K23" s="8"/>
      <c r="L23" s="8"/>
      <c r="M23" s="8"/>
      <c r="N23" s="12"/>
      <c r="O23" s="12"/>
      <c r="P23" s="8"/>
      <c r="Q23" s="8"/>
      <c r="R23" s="8"/>
      <c r="S23" s="8"/>
      <c r="T23" s="16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3">
      <c r="A24" s="4" t="s">
        <v>13</v>
      </c>
      <c r="B24" s="7"/>
      <c r="C24" s="7"/>
      <c r="D24" s="7"/>
      <c r="E24" s="7"/>
      <c r="F24" s="7"/>
      <c r="G24" s="12"/>
      <c r="H24" s="12"/>
      <c r="I24" s="7"/>
      <c r="J24" s="7"/>
      <c r="K24" s="7"/>
      <c r="L24" s="7"/>
      <c r="M24" s="7"/>
      <c r="N24" s="12"/>
      <c r="O24" s="12"/>
      <c r="P24" s="7"/>
      <c r="Q24" s="7"/>
      <c r="R24" s="7"/>
      <c r="S24" s="7"/>
      <c r="T24" s="16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3">
      <c r="A25" s="3" t="s">
        <v>1</v>
      </c>
      <c r="B25" s="8"/>
      <c r="C25" s="8"/>
      <c r="D25" s="8"/>
      <c r="E25" s="8"/>
      <c r="F25" s="8"/>
      <c r="G25" s="12"/>
      <c r="H25" s="12"/>
      <c r="I25" s="8"/>
      <c r="J25" s="8"/>
      <c r="K25" s="8"/>
      <c r="L25" s="8"/>
      <c r="M25" s="8"/>
      <c r="N25" s="12"/>
      <c r="O25" s="12"/>
      <c r="P25" s="8"/>
      <c r="Q25" s="8"/>
      <c r="R25" s="8"/>
      <c r="S25" s="8"/>
      <c r="T25" s="16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3">
      <c r="A26" s="4" t="s">
        <v>13</v>
      </c>
      <c r="B26" s="7"/>
      <c r="C26" s="7"/>
      <c r="D26" s="7"/>
      <c r="E26" s="7"/>
      <c r="F26" s="7"/>
      <c r="G26" s="12"/>
      <c r="H26" s="12"/>
      <c r="I26" s="7"/>
      <c r="J26" s="7"/>
      <c r="K26" s="7"/>
      <c r="L26" s="7"/>
      <c r="M26" s="7"/>
      <c r="N26" s="12"/>
      <c r="O26" s="12"/>
      <c r="P26" s="7"/>
      <c r="Q26" s="7"/>
      <c r="R26" s="7"/>
      <c r="S26" s="7"/>
      <c r="T26" s="16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3">
      <c r="A27" s="3" t="s">
        <v>1</v>
      </c>
      <c r="B27" s="8"/>
      <c r="C27" s="8"/>
      <c r="D27" s="8"/>
      <c r="E27" s="8"/>
      <c r="F27" s="8"/>
      <c r="G27" s="12"/>
      <c r="H27" s="12"/>
      <c r="I27" s="8"/>
      <c r="J27" s="8"/>
      <c r="K27" s="8"/>
      <c r="L27" s="8"/>
      <c r="M27" s="8"/>
      <c r="N27" s="12"/>
      <c r="O27" s="12"/>
      <c r="P27" s="8"/>
      <c r="Q27" s="8"/>
      <c r="R27" s="8"/>
      <c r="S27" s="8"/>
      <c r="T27" s="16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x14ac:dyDescent="0.3">
      <c r="A28" s="4" t="s">
        <v>13</v>
      </c>
      <c r="B28" s="7"/>
      <c r="C28" s="7"/>
      <c r="D28" s="7"/>
      <c r="E28" s="7"/>
      <c r="F28" s="7"/>
      <c r="G28" s="12"/>
      <c r="H28" s="12"/>
      <c r="I28" s="7"/>
      <c r="J28" s="7"/>
      <c r="K28" s="7"/>
      <c r="L28" s="7"/>
      <c r="M28" s="7"/>
      <c r="N28" s="12"/>
      <c r="O28" s="12"/>
      <c r="P28" s="7"/>
      <c r="Q28" s="7"/>
      <c r="R28" s="7"/>
      <c r="S28" s="7"/>
      <c r="T28" s="16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x14ac:dyDescent="0.3">
      <c r="A29" s="3" t="s">
        <v>1</v>
      </c>
      <c r="B29" s="8"/>
      <c r="C29" s="8"/>
      <c r="D29" s="8"/>
      <c r="E29" s="8"/>
      <c r="F29" s="8"/>
      <c r="G29" s="12"/>
      <c r="H29" s="12"/>
      <c r="I29" s="8"/>
      <c r="J29" s="8"/>
      <c r="K29" s="8"/>
      <c r="L29" s="8"/>
      <c r="M29" s="8"/>
      <c r="N29" s="12"/>
      <c r="O29" s="12"/>
      <c r="P29" s="8"/>
      <c r="Q29" s="8"/>
      <c r="R29" s="8"/>
      <c r="S29" s="8"/>
      <c r="T29" s="16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x14ac:dyDescent="0.3">
      <c r="A30" s="4" t="s">
        <v>13</v>
      </c>
      <c r="B30" s="7"/>
      <c r="C30" s="7"/>
      <c r="D30" s="7"/>
      <c r="E30" s="7"/>
      <c r="F30" s="7"/>
      <c r="G30" s="12"/>
      <c r="H30" s="12"/>
      <c r="I30" s="7"/>
      <c r="J30" s="7"/>
      <c r="K30" s="7"/>
      <c r="L30" s="7"/>
      <c r="M30" s="7"/>
      <c r="N30" s="12"/>
      <c r="O30" s="12"/>
      <c r="P30" s="7"/>
      <c r="Q30" s="7"/>
      <c r="R30" s="7"/>
      <c r="S30" s="7"/>
      <c r="T30" s="16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x14ac:dyDescent="0.3">
      <c r="A31" s="3" t="s">
        <v>1</v>
      </c>
      <c r="B31" s="8"/>
      <c r="C31" s="8"/>
      <c r="D31" s="8"/>
      <c r="E31" s="8"/>
      <c r="F31" s="8"/>
      <c r="G31" s="12"/>
      <c r="H31" s="12"/>
      <c r="I31" s="8"/>
      <c r="J31" s="8"/>
      <c r="K31" s="8"/>
      <c r="L31" s="8"/>
      <c r="M31" s="8"/>
      <c r="N31" s="12"/>
      <c r="O31" s="12"/>
      <c r="P31" s="8"/>
      <c r="Q31" s="8"/>
      <c r="R31" s="8"/>
      <c r="S31" s="8"/>
      <c r="T31" s="16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x14ac:dyDescent="0.3">
      <c r="A32" s="4" t="s">
        <v>13</v>
      </c>
      <c r="B32" s="7"/>
      <c r="C32" s="7"/>
      <c r="D32" s="7"/>
      <c r="E32" s="7"/>
      <c r="F32" s="7"/>
      <c r="G32" s="12"/>
      <c r="H32" s="12"/>
      <c r="I32" s="7"/>
      <c r="J32" s="7"/>
      <c r="K32" s="7"/>
      <c r="L32" s="7"/>
      <c r="M32" s="7"/>
      <c r="N32" s="12"/>
      <c r="O32" s="12"/>
      <c r="P32" s="7"/>
      <c r="Q32" s="7"/>
      <c r="R32" s="7"/>
      <c r="S32" s="7"/>
      <c r="T32" s="16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x14ac:dyDescent="0.3">
      <c r="A33" s="9" t="s">
        <v>59</v>
      </c>
      <c r="B33" s="93">
        <f>38.6-B4-B6-B8-B10-B12-B14-B16-B18-B20-B22-B24-B26-B28-B30-B32</f>
        <v>5.7300000000000022</v>
      </c>
      <c r="C33" s="93">
        <f t="shared" ref="C33:T33" si="1">38.6-C4-C6-C8-C10-C12-C14-C16-C18-C20-C22-C24-C26-C28-C30-C32</f>
        <v>11.600000000000001</v>
      </c>
      <c r="D33" s="93">
        <f t="shared" si="1"/>
        <v>8.6000000000000014</v>
      </c>
      <c r="E33" s="93">
        <f t="shared" si="1"/>
        <v>35.08</v>
      </c>
      <c r="F33" s="93">
        <f t="shared" si="1"/>
        <v>23</v>
      </c>
      <c r="G33" s="94">
        <f t="shared" si="1"/>
        <v>38.6</v>
      </c>
      <c r="H33" s="94">
        <f t="shared" si="1"/>
        <v>38.6</v>
      </c>
      <c r="I33" s="94">
        <f t="shared" si="1"/>
        <v>8.8817841970012523E-16</v>
      </c>
      <c r="J33" s="93">
        <f t="shared" si="1"/>
        <v>33.300000000000004</v>
      </c>
      <c r="K33" s="93">
        <f t="shared" si="1"/>
        <v>28.200000000000003</v>
      </c>
      <c r="L33" s="93">
        <f t="shared" si="1"/>
        <v>38.6</v>
      </c>
      <c r="M33" s="93">
        <f t="shared" si="1"/>
        <v>38.6</v>
      </c>
      <c r="N33" s="94">
        <f t="shared" si="1"/>
        <v>38.6</v>
      </c>
      <c r="O33" s="94">
        <f t="shared" si="1"/>
        <v>38.6</v>
      </c>
      <c r="P33" s="93">
        <f t="shared" si="1"/>
        <v>13.600000000000001</v>
      </c>
      <c r="Q33" s="93">
        <f t="shared" si="1"/>
        <v>38.6</v>
      </c>
      <c r="R33" s="93">
        <f t="shared" si="1"/>
        <v>38.6</v>
      </c>
      <c r="S33" s="93">
        <f t="shared" si="1"/>
        <v>38.6</v>
      </c>
      <c r="T33" s="94">
        <f t="shared" si="1"/>
        <v>38.6</v>
      </c>
      <c r="U33" s="94">
        <f t="shared" ref="U33:AF33" si="2">40-U4-U6-U8-U10-U12-U14-U16-U18-U20-U22-U24-U26-U28-U30-U32</f>
        <v>40</v>
      </c>
      <c r="V33" s="94">
        <f t="shared" si="2"/>
        <v>40</v>
      </c>
      <c r="W33" s="94">
        <f t="shared" si="2"/>
        <v>40</v>
      </c>
      <c r="X33" s="94">
        <f t="shared" si="2"/>
        <v>40</v>
      </c>
      <c r="Y33" s="94">
        <f t="shared" si="2"/>
        <v>40</v>
      </c>
      <c r="Z33" s="94">
        <f t="shared" si="2"/>
        <v>40</v>
      </c>
      <c r="AA33" s="94">
        <f t="shared" si="2"/>
        <v>40</v>
      </c>
      <c r="AB33" s="94">
        <f t="shared" si="2"/>
        <v>40</v>
      </c>
      <c r="AC33" s="94">
        <f t="shared" si="2"/>
        <v>40</v>
      </c>
      <c r="AD33" s="94">
        <f t="shared" si="2"/>
        <v>40</v>
      </c>
      <c r="AE33" s="94">
        <f t="shared" si="2"/>
        <v>40</v>
      </c>
      <c r="AF33" s="94">
        <f t="shared" si="2"/>
        <v>40</v>
      </c>
    </row>
  </sheetData>
  <conditionalFormatting sqref="B2:AF2">
    <cfRule type="cellIs" dxfId="1" priority="1" operator="equal">
      <formula>40</formula>
    </cfRule>
    <cfRule type="cellIs" dxfId="0" priority="2" operator="greaterThan">
      <formula>40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800E-B304-4205-910C-32E98EDC3189}">
  <sheetPr>
    <tabColor rgb="FFFF0000"/>
  </sheetPr>
  <dimension ref="A1:F52"/>
  <sheetViews>
    <sheetView zoomScale="80" zoomScaleNormal="80" workbookViewId="0">
      <selection activeCell="A41" sqref="A41:F41"/>
    </sheetView>
  </sheetViews>
  <sheetFormatPr defaultRowHeight="14.4" x14ac:dyDescent="0.3"/>
  <cols>
    <col min="1" max="1" width="16" customWidth="1"/>
    <col min="2" max="2" width="11.5546875" style="35" bestFit="1" customWidth="1"/>
    <col min="3" max="3" width="16.21875" bestFit="1" customWidth="1"/>
    <col min="4" max="4" width="13.44140625" bestFit="1" customWidth="1"/>
    <col min="5" max="5" width="15.44140625" bestFit="1" customWidth="1"/>
    <col min="6" max="6" width="17.21875" bestFit="1" customWidth="1"/>
  </cols>
  <sheetData>
    <row r="1" spans="1:6" x14ac:dyDescent="0.3">
      <c r="A1" s="101" t="s">
        <v>770</v>
      </c>
      <c r="B1" s="101"/>
      <c r="C1" s="101"/>
      <c r="D1" s="101"/>
      <c r="E1" s="101"/>
      <c r="F1" s="101"/>
    </row>
    <row r="2" spans="1:6" ht="4.3499999999999996" customHeight="1" x14ac:dyDescent="0.3">
      <c r="A2" s="29"/>
      <c r="B2" s="30"/>
      <c r="C2" s="29"/>
      <c r="D2" s="29"/>
      <c r="E2" s="29"/>
      <c r="F2" s="29"/>
    </row>
    <row r="3" spans="1:6" x14ac:dyDescent="0.3">
      <c r="A3" s="31" t="s">
        <v>771</v>
      </c>
      <c r="B3" s="32" t="s">
        <v>772</v>
      </c>
      <c r="C3" s="31" t="s">
        <v>773</v>
      </c>
      <c r="D3" s="31" t="s">
        <v>774</v>
      </c>
      <c r="E3" s="31" t="s">
        <v>775</v>
      </c>
      <c r="F3" s="31" t="s">
        <v>776</v>
      </c>
    </row>
    <row r="4" spans="1:6" x14ac:dyDescent="0.3">
      <c r="A4" s="74" t="s">
        <v>777</v>
      </c>
      <c r="B4" s="75">
        <f>COUNT(January!N1:R1)</f>
        <v>5</v>
      </c>
      <c r="C4" s="76">
        <v>141.69999999999999</v>
      </c>
      <c r="D4" s="77">
        <f>'Factory Hours'!D28</f>
        <v>28.35</v>
      </c>
      <c r="E4" s="77">
        <f t="shared" ref="E4:E21" si="0">D4*B4</f>
        <v>141.75</v>
      </c>
      <c r="F4" s="76">
        <f t="shared" ref="F4:F21" si="1">E4-C4</f>
        <v>5.0000000000011369E-2</v>
      </c>
    </row>
    <row r="5" spans="1:6" x14ac:dyDescent="0.3">
      <c r="A5" s="74" t="s">
        <v>778</v>
      </c>
      <c r="B5" s="78">
        <f>COUNT(January!U1:Y1)</f>
        <v>5</v>
      </c>
      <c r="C5" s="76">
        <v>141.69999999999999</v>
      </c>
      <c r="D5" s="77">
        <f>'Factory Hours'!I28</f>
        <v>28.35</v>
      </c>
      <c r="E5" s="77">
        <f t="shared" si="0"/>
        <v>141.75</v>
      </c>
      <c r="F5" s="76">
        <f t="shared" si="1"/>
        <v>5.0000000000011369E-2</v>
      </c>
    </row>
    <row r="6" spans="1:6" x14ac:dyDescent="0.3">
      <c r="A6" s="74" t="s">
        <v>779</v>
      </c>
      <c r="B6" s="78">
        <f>COUNT(January!AC1:AF1)</f>
        <v>4</v>
      </c>
      <c r="C6" s="76">
        <v>93</v>
      </c>
      <c r="D6" s="77">
        <f>'Factory Hours'!N28</f>
        <v>23.25</v>
      </c>
      <c r="E6" s="77">
        <f t="shared" si="0"/>
        <v>93</v>
      </c>
      <c r="F6" s="76">
        <f t="shared" si="1"/>
        <v>0</v>
      </c>
    </row>
    <row r="7" spans="1:6" x14ac:dyDescent="0.3">
      <c r="A7" s="74" t="s">
        <v>780</v>
      </c>
      <c r="B7" s="78">
        <f>COUNT(February!D1:F1,February!H1)</f>
        <v>4</v>
      </c>
      <c r="C7" s="76">
        <v>103.4</v>
      </c>
      <c r="D7" s="77">
        <f>'Factory Hours'!D43</f>
        <v>25.860000000000003</v>
      </c>
      <c r="E7" s="77">
        <f t="shared" si="0"/>
        <v>103.44000000000001</v>
      </c>
      <c r="F7" s="76">
        <f t="shared" si="1"/>
        <v>4.0000000000006253E-2</v>
      </c>
    </row>
    <row r="8" spans="1:6" x14ac:dyDescent="0.3">
      <c r="A8" s="74" t="s">
        <v>781</v>
      </c>
      <c r="B8" s="78">
        <f>COUNT(February!K1:O1)</f>
        <v>5</v>
      </c>
      <c r="C8" s="76">
        <v>195.3</v>
      </c>
      <c r="D8" s="77">
        <f>'Factory Hours'!I43</f>
        <v>39.075000000000003</v>
      </c>
      <c r="E8" s="77">
        <f t="shared" si="0"/>
        <v>195.375</v>
      </c>
      <c r="F8" s="76">
        <f t="shared" si="1"/>
        <v>7.4999999999988631E-2</v>
      </c>
    </row>
    <row r="9" spans="1:6" x14ac:dyDescent="0.3">
      <c r="A9" s="74" t="s">
        <v>782</v>
      </c>
      <c r="B9" s="78">
        <f>COUNT(February!R1:V1)</f>
        <v>5</v>
      </c>
      <c r="C9" s="76">
        <f>February!R2+February!S2+February!T2+February!U2+February!V2</f>
        <v>173.57</v>
      </c>
      <c r="D9" s="77">
        <f>'Factory Hours'!N43</f>
        <v>36.375</v>
      </c>
      <c r="E9" s="77">
        <f t="shared" si="0"/>
        <v>181.875</v>
      </c>
      <c r="F9" s="76">
        <f t="shared" si="1"/>
        <v>8.3050000000000068</v>
      </c>
    </row>
    <row r="10" spans="1:6" x14ac:dyDescent="0.3">
      <c r="A10" s="74" t="s">
        <v>783</v>
      </c>
      <c r="B10" s="78">
        <f>COUNT(February!Y1:AC1)</f>
        <v>5</v>
      </c>
      <c r="C10" s="76">
        <f>February!Y2+February!Z2+February!AA2+February!AB2+February!AC2</f>
        <v>189</v>
      </c>
      <c r="D10" s="77">
        <f>'Factory Hours'!S43</f>
        <v>39.075000000000003</v>
      </c>
      <c r="E10" s="77">
        <f t="shared" si="0"/>
        <v>195.375</v>
      </c>
      <c r="F10" s="76">
        <f t="shared" si="1"/>
        <v>6.375</v>
      </c>
    </row>
    <row r="11" spans="1:6" x14ac:dyDescent="0.3">
      <c r="A11" s="74" t="s">
        <v>784</v>
      </c>
      <c r="B11" s="78">
        <f>COUNT(March!D1:H1)</f>
        <v>5</v>
      </c>
      <c r="C11" s="76">
        <v>195.3</v>
      </c>
      <c r="D11" s="77">
        <f>'Factory Hours'!D58</f>
        <v>39.075000000000003</v>
      </c>
      <c r="E11" s="77">
        <f t="shared" si="0"/>
        <v>195.375</v>
      </c>
      <c r="F11" s="76">
        <f t="shared" si="1"/>
        <v>7.4999999999988631E-2</v>
      </c>
    </row>
    <row r="12" spans="1:6" x14ac:dyDescent="0.3">
      <c r="A12" s="74" t="s">
        <v>785</v>
      </c>
      <c r="B12" s="78">
        <f>COUNT(March!K1:O1)</f>
        <v>5</v>
      </c>
      <c r="C12" s="76">
        <f>March!K2+March!L2+March!M2+March!N2+March!O2</f>
        <v>189.52000000000004</v>
      </c>
      <c r="D12" s="77">
        <f>'Factory Hours'!I58</f>
        <v>39.075000000000003</v>
      </c>
      <c r="E12" s="77">
        <f t="shared" si="0"/>
        <v>195.375</v>
      </c>
      <c r="F12" s="76">
        <f t="shared" si="1"/>
        <v>5.8549999999999613</v>
      </c>
    </row>
    <row r="13" spans="1:6" x14ac:dyDescent="0.3">
      <c r="A13" s="74" t="s">
        <v>786</v>
      </c>
      <c r="B13" s="78">
        <f>COUNT(March!R1:V1)</f>
        <v>5</v>
      </c>
      <c r="C13" s="76">
        <f>March!R2+March!S2+March!T2+March!U2+March!V2</f>
        <v>149.25</v>
      </c>
      <c r="D13" s="77">
        <f>'Factory Hours'!N58</f>
        <v>37.725000000000001</v>
      </c>
      <c r="E13" s="77">
        <f t="shared" si="0"/>
        <v>188.625</v>
      </c>
      <c r="F13" s="76">
        <f t="shared" si="1"/>
        <v>39.375</v>
      </c>
    </row>
    <row r="14" spans="1:6" x14ac:dyDescent="0.3">
      <c r="A14" s="74" t="s">
        <v>787</v>
      </c>
      <c r="B14" s="78">
        <f>COUNT(March!Y1:AC1)</f>
        <v>5</v>
      </c>
      <c r="C14" s="76">
        <f>March!Y2+March!Z2+March!AA2+March!AB2+March!AC2</f>
        <v>133.38</v>
      </c>
      <c r="D14" s="77">
        <f>'Factory Hours'!S58</f>
        <v>37.725000000000001</v>
      </c>
      <c r="E14" s="77">
        <f t="shared" si="0"/>
        <v>188.625</v>
      </c>
      <c r="F14" s="76">
        <f t="shared" si="1"/>
        <v>55.245000000000005</v>
      </c>
    </row>
    <row r="15" spans="1:6" x14ac:dyDescent="0.3">
      <c r="A15" s="74" t="s">
        <v>788</v>
      </c>
      <c r="B15" s="78">
        <f>COUNT(March!AF1,April!B1:E1)</f>
        <v>5</v>
      </c>
      <c r="C15" s="76">
        <f>March!AF2+April!B2+April!C2+April!D2+April!E2</f>
        <v>141.1</v>
      </c>
      <c r="D15" s="77">
        <f>'Factory Hours'!D73</f>
        <v>31.05</v>
      </c>
      <c r="E15" s="77">
        <f t="shared" si="0"/>
        <v>155.25</v>
      </c>
      <c r="F15" s="76">
        <f t="shared" si="1"/>
        <v>14.150000000000006</v>
      </c>
    </row>
    <row r="16" spans="1:6" x14ac:dyDescent="0.3">
      <c r="A16" s="74" t="s">
        <v>789</v>
      </c>
      <c r="B16" s="78">
        <f>COUNT(April!H1:L1)</f>
        <v>5</v>
      </c>
      <c r="C16" s="76">
        <f>April!H2+April!I2+April!J2+April!K2+April!L2</f>
        <v>96.539999999999992</v>
      </c>
      <c r="D16" s="77">
        <f>'Factory Hours'!I73</f>
        <v>32.4</v>
      </c>
      <c r="E16" s="77">
        <f t="shared" si="0"/>
        <v>162</v>
      </c>
      <c r="F16" s="76">
        <f t="shared" si="1"/>
        <v>65.460000000000008</v>
      </c>
    </row>
    <row r="17" spans="1:6" x14ac:dyDescent="0.3">
      <c r="A17" s="74" t="s">
        <v>790</v>
      </c>
      <c r="B17" s="78">
        <f>COUNT(April!O1:R1)</f>
        <v>4</v>
      </c>
      <c r="C17" s="76">
        <f>April!O2+April!P2+April!Q2+April!R2</f>
        <v>64.52</v>
      </c>
      <c r="D17" s="77">
        <f>'Factory Hours'!N73</f>
        <v>24</v>
      </c>
      <c r="E17" s="77">
        <f t="shared" si="0"/>
        <v>96</v>
      </c>
      <c r="F17" s="76">
        <f t="shared" si="1"/>
        <v>31.480000000000004</v>
      </c>
    </row>
    <row r="18" spans="1:6" x14ac:dyDescent="0.3">
      <c r="A18" s="74" t="s">
        <v>791</v>
      </c>
      <c r="B18" s="78">
        <f>COUNT(April!W1:Y1)</f>
        <v>3</v>
      </c>
      <c r="C18" s="76">
        <f>April!W2+April!X2+April!Y2</f>
        <v>42.269999999999996</v>
      </c>
      <c r="D18" s="77">
        <f>'Factory Hours'!S73</f>
        <v>18</v>
      </c>
      <c r="E18" s="77">
        <f t="shared" si="0"/>
        <v>54</v>
      </c>
      <c r="F18" s="76">
        <f t="shared" si="1"/>
        <v>11.730000000000004</v>
      </c>
    </row>
    <row r="19" spans="1:6" x14ac:dyDescent="0.3">
      <c r="A19" s="74" t="s">
        <v>792</v>
      </c>
      <c r="B19" s="78">
        <f>COUNT(April!AC1:AE1,May!B1:C1)</f>
        <v>5</v>
      </c>
      <c r="C19" s="76">
        <f>April!AC2+April!AD2+April!AE2+May!B2+May!C2</f>
        <v>96.669999999999987</v>
      </c>
      <c r="D19" s="77">
        <f>'Factory Hours'!D88</f>
        <v>24.15</v>
      </c>
      <c r="E19" s="77">
        <f t="shared" si="0"/>
        <v>120.75</v>
      </c>
      <c r="F19" s="76">
        <f t="shared" si="1"/>
        <v>24.080000000000013</v>
      </c>
    </row>
    <row r="20" spans="1:6" x14ac:dyDescent="0.3">
      <c r="A20" s="74" t="s">
        <v>793</v>
      </c>
      <c r="B20" s="78">
        <f>COUNT(May!F1:J1)</f>
        <v>5</v>
      </c>
      <c r="C20" s="76">
        <f>May!F2+May!G2+May!H2+May!I2+May!J2</f>
        <v>96.12</v>
      </c>
      <c r="D20" s="77">
        <f>'Factory Hours'!I88</f>
        <v>28.170000000000005</v>
      </c>
      <c r="E20" s="77">
        <f t="shared" si="0"/>
        <v>140.85000000000002</v>
      </c>
      <c r="F20" s="76">
        <f t="shared" si="1"/>
        <v>44.730000000000018</v>
      </c>
    </row>
    <row r="21" spans="1:6" x14ac:dyDescent="0.3">
      <c r="A21" s="74" t="s">
        <v>794</v>
      </c>
      <c r="B21" s="78">
        <f>COUNT(May!M1:Q1)</f>
        <v>5</v>
      </c>
      <c r="C21" s="76">
        <f>May!M2+May!N2+May!O2+May!P2+May!Q2</f>
        <v>74.5</v>
      </c>
      <c r="D21" s="77">
        <f>'Factory Hours'!N88</f>
        <v>33.75</v>
      </c>
      <c r="E21" s="77">
        <f t="shared" si="0"/>
        <v>168.75</v>
      </c>
      <c r="F21" s="76">
        <f t="shared" si="1"/>
        <v>94.25</v>
      </c>
    </row>
    <row r="22" spans="1:6" x14ac:dyDescent="0.3">
      <c r="A22" s="74" t="s">
        <v>795</v>
      </c>
      <c r="B22" s="78">
        <f>COUNT(May!T1:X1)</f>
        <v>5</v>
      </c>
      <c r="C22" s="76">
        <v>158.5</v>
      </c>
      <c r="D22" s="77">
        <f>'Factory Hours'!S88</f>
        <v>31.725000000000001</v>
      </c>
      <c r="E22" s="77">
        <f t="shared" ref="E22:E51" si="2">D22*B22</f>
        <v>158.625</v>
      </c>
      <c r="F22" s="76">
        <f t="shared" ref="F22:F51" si="3">E22-C22</f>
        <v>0.125</v>
      </c>
    </row>
    <row r="23" spans="1:6" x14ac:dyDescent="0.3">
      <c r="A23" s="74" t="s">
        <v>796</v>
      </c>
      <c r="B23" s="78">
        <f>COUNT(May!AA1:AE1)</f>
        <v>5</v>
      </c>
      <c r="C23" s="76">
        <f>May!AA2+May!AB2+May!AC2+May!AD2+May!AE2</f>
        <v>165.42</v>
      </c>
      <c r="D23" s="77">
        <f>'Factory Hours'!X88</f>
        <v>33.75</v>
      </c>
      <c r="E23" s="77">
        <f t="shared" si="2"/>
        <v>168.75</v>
      </c>
      <c r="F23" s="76">
        <f t="shared" si="3"/>
        <v>3.3300000000000125</v>
      </c>
    </row>
    <row r="24" spans="1:6" x14ac:dyDescent="0.3">
      <c r="A24" s="74" t="s">
        <v>797</v>
      </c>
      <c r="B24" s="78">
        <f>COUNT(June!D1:G1)</f>
        <v>4</v>
      </c>
      <c r="C24" s="76">
        <f>June!D2+June!E2+June!F2+June!G2</f>
        <v>134.94999999999999</v>
      </c>
      <c r="D24" s="77">
        <f>'Factory Hours'!D103</f>
        <v>33.75</v>
      </c>
      <c r="E24" s="77">
        <f t="shared" si="2"/>
        <v>135</v>
      </c>
      <c r="F24" s="76">
        <f t="shared" si="3"/>
        <v>5.0000000000011369E-2</v>
      </c>
    </row>
    <row r="25" spans="1:6" x14ac:dyDescent="0.3">
      <c r="A25" s="74" t="s">
        <v>798</v>
      </c>
      <c r="B25" s="78">
        <f>COUNT(June!J1:N1)</f>
        <v>5</v>
      </c>
      <c r="C25" s="76">
        <f>June!J2+June!K2+June!L2+June!M2+June!N2</f>
        <v>155.13</v>
      </c>
      <c r="D25" s="77">
        <f>'Factory Hours'!I103</f>
        <v>32.4</v>
      </c>
      <c r="E25" s="77">
        <f t="shared" si="2"/>
        <v>162</v>
      </c>
      <c r="F25" s="76">
        <f t="shared" si="3"/>
        <v>6.8700000000000045</v>
      </c>
    </row>
    <row r="26" spans="1:6" x14ac:dyDescent="0.3">
      <c r="A26" s="74" t="s">
        <v>799</v>
      </c>
      <c r="B26" s="78">
        <f>COUNT(June!Q1:T1)</f>
        <v>4</v>
      </c>
      <c r="C26" s="76">
        <f>June!Q2+June!R2+June!S2+June!T2</f>
        <v>116.87</v>
      </c>
      <c r="D26" s="77">
        <f>'Factory Hours'!N103</f>
        <v>33.75</v>
      </c>
      <c r="E26" s="77">
        <f t="shared" si="2"/>
        <v>135</v>
      </c>
      <c r="F26" s="76">
        <f t="shared" si="3"/>
        <v>18.129999999999995</v>
      </c>
    </row>
    <row r="27" spans="1:6" x14ac:dyDescent="0.3">
      <c r="A27" s="74" t="s">
        <v>800</v>
      </c>
      <c r="B27" s="78">
        <f>COUNT(June!X1:AB1)</f>
        <v>5</v>
      </c>
      <c r="C27" s="76">
        <f>June!X2+June!Y2+June!Z2+June!AA2+June!AB2</f>
        <v>140.82</v>
      </c>
      <c r="D27" s="77">
        <f>'Factory Hours'!S103</f>
        <v>32.4</v>
      </c>
      <c r="E27" s="77">
        <f t="shared" si="2"/>
        <v>162</v>
      </c>
      <c r="F27" s="76">
        <f t="shared" si="3"/>
        <v>21.180000000000007</v>
      </c>
    </row>
    <row r="28" spans="1:6" x14ac:dyDescent="0.3">
      <c r="A28" s="74" t="s">
        <v>801</v>
      </c>
      <c r="B28" s="78">
        <f>COUNT(June!AE1,July!B1:E1)</f>
        <v>5</v>
      </c>
      <c r="C28" s="76">
        <f>June!AE2+July!B2+July!C2+July!D2+July!E2</f>
        <v>141.1</v>
      </c>
      <c r="D28" s="77">
        <f>'Factory Hours'!D118</f>
        <v>37.200000000000003</v>
      </c>
      <c r="E28" s="77">
        <f t="shared" si="2"/>
        <v>186</v>
      </c>
      <c r="F28" s="76">
        <f t="shared" si="3"/>
        <v>44.900000000000006</v>
      </c>
    </row>
    <row r="29" spans="1:6" x14ac:dyDescent="0.3">
      <c r="A29" s="74" t="s">
        <v>802</v>
      </c>
      <c r="B29" s="78">
        <f>COUNT(July!H1:L1)</f>
        <v>5</v>
      </c>
      <c r="C29" s="76">
        <f>July!H2+July!I2+July!J2+July!K2+July!L2</f>
        <v>179.5</v>
      </c>
      <c r="D29" s="77">
        <f>'Factory Hours'!I118</f>
        <v>37.200000000000003</v>
      </c>
      <c r="E29" s="77">
        <f t="shared" si="2"/>
        <v>186</v>
      </c>
      <c r="F29" s="76">
        <f t="shared" si="3"/>
        <v>6.5</v>
      </c>
    </row>
    <row r="30" spans="1:6" x14ac:dyDescent="0.3">
      <c r="A30" s="74" t="s">
        <v>803</v>
      </c>
      <c r="B30" s="78">
        <f>COUNT(July!O1:S1)</f>
        <v>5</v>
      </c>
      <c r="C30" s="76">
        <f>July!O2+July!P2+July!Q2+July!R2+July!S2</f>
        <v>124.60999999999999</v>
      </c>
      <c r="D30" s="77">
        <f>'Factory Hours'!N118</f>
        <v>32.4</v>
      </c>
      <c r="E30" s="77">
        <f t="shared" si="2"/>
        <v>162</v>
      </c>
      <c r="F30" s="76">
        <f t="shared" si="3"/>
        <v>37.390000000000015</v>
      </c>
    </row>
    <row r="31" spans="1:6" x14ac:dyDescent="0.3">
      <c r="A31" s="74" t="s">
        <v>804</v>
      </c>
      <c r="B31" s="78">
        <f>COUNT(July!V1:Z1)</f>
        <v>5</v>
      </c>
      <c r="C31" s="76">
        <f>July!V2+July!W2+July!X2+July!Y2+July!Z2</f>
        <v>149.19999999999999</v>
      </c>
      <c r="D31" s="77">
        <f>'Factory Hours'!S118</f>
        <v>32.4</v>
      </c>
      <c r="E31" s="77">
        <f t="shared" si="2"/>
        <v>162</v>
      </c>
      <c r="F31" s="76">
        <f t="shared" si="3"/>
        <v>12.800000000000011</v>
      </c>
    </row>
    <row r="32" spans="1:6" x14ac:dyDescent="0.3">
      <c r="A32" s="74" t="s">
        <v>805</v>
      </c>
      <c r="B32" s="78">
        <f>COUNT(July!AC1:AF1,August!B1)</f>
        <v>5</v>
      </c>
      <c r="C32" s="76">
        <f>July!AC2+July!AD2+July!AE2+July!AF2+August!B2</f>
        <v>153.57</v>
      </c>
      <c r="D32" s="77">
        <f>'Factory Hours'!X118</f>
        <v>32.4</v>
      </c>
      <c r="E32" s="77">
        <f t="shared" si="2"/>
        <v>162</v>
      </c>
      <c r="F32" s="76">
        <f t="shared" si="3"/>
        <v>8.4300000000000068</v>
      </c>
    </row>
    <row r="33" spans="1:6" x14ac:dyDescent="0.3">
      <c r="A33" s="74" t="s">
        <v>806</v>
      </c>
      <c r="B33" s="78">
        <f>COUNT(August!E1:I1)</f>
        <v>5</v>
      </c>
      <c r="C33" s="76">
        <f>August!E2+August!F2+August!G2+August!H2+August!I2</f>
        <v>145.1</v>
      </c>
      <c r="D33" s="77">
        <f>'Factory Hours'!D133</f>
        <v>32.4</v>
      </c>
      <c r="E33" s="77">
        <f t="shared" si="2"/>
        <v>162</v>
      </c>
      <c r="F33" s="76">
        <f t="shared" si="3"/>
        <v>16.900000000000006</v>
      </c>
    </row>
    <row r="34" spans="1:6" x14ac:dyDescent="0.3">
      <c r="A34" s="74" t="s">
        <v>807</v>
      </c>
      <c r="B34" s="78">
        <f>COUNT(August!L1:P1)</f>
        <v>5</v>
      </c>
      <c r="C34" s="76">
        <f>August!L2+August!M2+August!N2+August!O2+August!P2</f>
        <v>130.1</v>
      </c>
      <c r="D34" s="77">
        <f>'Factory Hours'!I133</f>
        <v>35.1</v>
      </c>
      <c r="E34" s="77">
        <f t="shared" si="2"/>
        <v>175.5</v>
      </c>
      <c r="F34" s="76">
        <f t="shared" si="3"/>
        <v>45.400000000000006</v>
      </c>
    </row>
    <row r="35" spans="1:6" x14ac:dyDescent="0.3">
      <c r="A35" s="74" t="s">
        <v>808</v>
      </c>
      <c r="B35" s="78">
        <f>COUNT(August!S1:W1)</f>
        <v>5</v>
      </c>
      <c r="C35" s="76">
        <f>August!S2+August!T2+August!U2+August!V2+August!W2</f>
        <v>133.5</v>
      </c>
      <c r="D35" s="77">
        <f>'Factory Hours'!N133</f>
        <v>33.75</v>
      </c>
      <c r="E35" s="77">
        <f t="shared" si="2"/>
        <v>168.75</v>
      </c>
      <c r="F35" s="76">
        <f t="shared" si="3"/>
        <v>35.25</v>
      </c>
    </row>
    <row r="36" spans="1:6" x14ac:dyDescent="0.3">
      <c r="A36" s="74" t="s">
        <v>809</v>
      </c>
      <c r="B36" s="78">
        <f>COUNT(August!Z1:AD1)</f>
        <v>5</v>
      </c>
      <c r="C36" s="76">
        <f>August!Z2+August!AA2+August!AB2+August!AC2+August!AD2</f>
        <v>105.11</v>
      </c>
      <c r="D36" s="77">
        <f>'Factory Hours'!S133</f>
        <v>33.75</v>
      </c>
      <c r="E36" s="77">
        <f t="shared" si="2"/>
        <v>168.75</v>
      </c>
      <c r="F36" s="76">
        <f t="shared" si="3"/>
        <v>63.64</v>
      </c>
    </row>
    <row r="37" spans="1:6" x14ac:dyDescent="0.3">
      <c r="A37" s="33" t="s">
        <v>810</v>
      </c>
      <c r="B37" s="34">
        <f>COUNT(September!B1:F1)</f>
        <v>5</v>
      </c>
      <c r="C37" s="56">
        <f>September!B2+September!C2+September!D2+September!E2+September!F2</f>
        <v>146.4</v>
      </c>
      <c r="D37" s="57">
        <f>'Factory Hours'!D148</f>
        <v>38.549999999999997</v>
      </c>
      <c r="E37" s="57">
        <f t="shared" si="2"/>
        <v>192.75</v>
      </c>
      <c r="F37" s="56">
        <f t="shared" si="3"/>
        <v>46.349999999999994</v>
      </c>
    </row>
    <row r="38" spans="1:6" x14ac:dyDescent="0.3">
      <c r="A38" s="33" t="s">
        <v>811</v>
      </c>
      <c r="B38" s="34">
        <f>COUNT(September!I1:M1)</f>
        <v>5</v>
      </c>
      <c r="C38" s="56">
        <f>September!I2+September!J2+September!K2+September!L2+September!M2</f>
        <v>117.97999999999999</v>
      </c>
      <c r="D38" s="57">
        <f>'Factory Hours'!I148</f>
        <v>38.549999999999997</v>
      </c>
      <c r="E38" s="57">
        <f t="shared" si="2"/>
        <v>192.75</v>
      </c>
      <c r="F38" s="56">
        <f t="shared" si="3"/>
        <v>74.77000000000001</v>
      </c>
    </row>
    <row r="39" spans="1:6" x14ac:dyDescent="0.3">
      <c r="A39" s="33" t="s">
        <v>812</v>
      </c>
      <c r="B39" s="34">
        <f>COUNT(September!P1:T1)</f>
        <v>5</v>
      </c>
      <c r="C39" s="56">
        <f>September!P2+September!Q2+September!R2+September!S2+September!T2</f>
        <v>178.89999999999998</v>
      </c>
      <c r="D39" s="57">
        <f>'Factory Hours'!N148</f>
        <v>38.549999999999997</v>
      </c>
      <c r="E39" s="57">
        <f t="shared" si="2"/>
        <v>192.75</v>
      </c>
      <c r="F39" s="56">
        <f t="shared" si="3"/>
        <v>13.850000000000023</v>
      </c>
    </row>
    <row r="40" spans="1:6" x14ac:dyDescent="0.3">
      <c r="A40" s="33" t="s">
        <v>813</v>
      </c>
      <c r="B40" s="34">
        <f>COUNT(September!W1:AA1)</f>
        <v>5</v>
      </c>
      <c r="C40" s="56">
        <f>September!W2+September!X2+September!Y2+September!Z2+September!AA2</f>
        <v>183.12</v>
      </c>
      <c r="D40" s="57">
        <f>'Factory Hours'!S148</f>
        <v>38.549999999999997</v>
      </c>
      <c r="E40" s="57">
        <f t="shared" si="2"/>
        <v>192.75</v>
      </c>
      <c r="F40" s="56">
        <f t="shared" si="3"/>
        <v>9.6299999999999955</v>
      </c>
    </row>
    <row r="41" spans="1:6" x14ac:dyDescent="0.3">
      <c r="A41" s="33" t="s">
        <v>814</v>
      </c>
      <c r="B41" s="34">
        <f>COUNT(September!AD1:AE1,October!B1:D1)</f>
        <v>5</v>
      </c>
      <c r="C41" s="56">
        <f>September!AD2+September!AE2+October!B2+October!C2+October!D2</f>
        <v>132.16999999999999</v>
      </c>
      <c r="D41" s="57">
        <f>'Factory Hours'!X148</f>
        <v>31.8</v>
      </c>
      <c r="E41" s="57">
        <f t="shared" si="2"/>
        <v>159</v>
      </c>
      <c r="F41" s="56">
        <f t="shared" si="3"/>
        <v>26.830000000000013</v>
      </c>
    </row>
    <row r="42" spans="1:6" x14ac:dyDescent="0.3">
      <c r="A42" s="33" t="s">
        <v>815</v>
      </c>
      <c r="B42" s="34">
        <f>COUNT(October!G1:K1)</f>
        <v>5</v>
      </c>
      <c r="C42" s="56">
        <f>October!G2+October!H2+October!I2+October!J2+October!K2</f>
        <v>159</v>
      </c>
      <c r="D42" s="57">
        <f>'Factory Hours'!D163</f>
        <v>31.8</v>
      </c>
      <c r="E42" s="57">
        <f t="shared" si="2"/>
        <v>159</v>
      </c>
      <c r="F42" s="56">
        <f t="shared" si="3"/>
        <v>0</v>
      </c>
    </row>
    <row r="43" spans="1:6" x14ac:dyDescent="0.3">
      <c r="A43" s="33" t="s">
        <v>816</v>
      </c>
      <c r="B43" s="34">
        <f>COUNT(October!N1:R1)</f>
        <v>5</v>
      </c>
      <c r="C43" s="56">
        <f>October!N2+October!O2+October!P2+October!Q2+October!R2</f>
        <v>159.09</v>
      </c>
      <c r="D43" s="57">
        <f>'Factory Hours'!I163</f>
        <v>31.8</v>
      </c>
      <c r="E43" s="57">
        <f t="shared" si="2"/>
        <v>159</v>
      </c>
      <c r="F43" s="56">
        <f t="shared" si="3"/>
        <v>-9.0000000000003411E-2</v>
      </c>
    </row>
    <row r="44" spans="1:6" x14ac:dyDescent="0.3">
      <c r="A44" s="33" t="s">
        <v>817</v>
      </c>
      <c r="B44" s="34">
        <f>COUNT(October!U1:Y1)</f>
        <v>5</v>
      </c>
      <c r="C44" s="56">
        <f>October!U2+October!V2+October!W2+October!X2+October!Y2</f>
        <v>133.20999999999998</v>
      </c>
      <c r="D44" s="57">
        <f>'Factory Hours'!N163</f>
        <v>31.8</v>
      </c>
      <c r="E44" s="57">
        <f>D44*B44</f>
        <v>159</v>
      </c>
      <c r="F44" s="56">
        <f t="shared" si="3"/>
        <v>25.79000000000002</v>
      </c>
    </row>
    <row r="45" spans="1:6" x14ac:dyDescent="0.3">
      <c r="A45" s="33" t="s">
        <v>818</v>
      </c>
      <c r="B45" s="55">
        <f>COUNT(October!AC1:AF1)</f>
        <v>4</v>
      </c>
      <c r="C45" s="56">
        <f>October!AC2+October!AD2+October!AE2+October!AF2</f>
        <v>78.800000000000011</v>
      </c>
      <c r="D45" s="57">
        <f>'Factory Hours'!S163</f>
        <v>25.17</v>
      </c>
      <c r="E45" s="57">
        <f>D45*B45</f>
        <v>100.68</v>
      </c>
      <c r="F45" s="56">
        <f t="shared" si="3"/>
        <v>21.879999999999995</v>
      </c>
    </row>
    <row r="46" spans="1:6" x14ac:dyDescent="0.3">
      <c r="A46" s="33" t="s">
        <v>819</v>
      </c>
      <c r="B46" s="34">
        <f>COUNT(November!D1:H1)</f>
        <v>5</v>
      </c>
      <c r="C46" s="56">
        <f>November!D2+November!E2+November!F2+November!G2+November!H2</f>
        <v>102.2</v>
      </c>
      <c r="D46" s="57">
        <f>'Factory Hours'!D178</f>
        <v>38.549999999999997</v>
      </c>
      <c r="E46" s="57">
        <f t="shared" si="2"/>
        <v>192.75</v>
      </c>
      <c r="F46" s="56">
        <f t="shared" si="3"/>
        <v>90.55</v>
      </c>
    </row>
    <row r="47" spans="1:6" x14ac:dyDescent="0.3">
      <c r="A47" s="33" t="s">
        <v>820</v>
      </c>
      <c r="B47" s="34">
        <f>COUNT(November!K1:O1)</f>
        <v>5</v>
      </c>
      <c r="C47" s="56">
        <f>November!K2+November!L2+November!M2+November!N2+November!O2</f>
        <v>144.4</v>
      </c>
      <c r="D47" s="57">
        <f>'Factory Hours'!I178</f>
        <v>38.549999999999997</v>
      </c>
      <c r="E47" s="57">
        <f t="shared" si="2"/>
        <v>192.75</v>
      </c>
      <c r="F47" s="56">
        <f t="shared" si="3"/>
        <v>48.349999999999994</v>
      </c>
    </row>
    <row r="48" spans="1:6" x14ac:dyDescent="0.3">
      <c r="A48" s="33" t="s">
        <v>821</v>
      </c>
      <c r="B48" s="34">
        <f>COUNT(November!R1:V1)</f>
        <v>5</v>
      </c>
      <c r="C48" s="56">
        <f>November!R2+November!S2+November!T2+November!U2+November!V2</f>
        <v>159.76999999999998</v>
      </c>
      <c r="D48" s="57">
        <f>'Factory Hours'!N178</f>
        <v>38.549999999999997</v>
      </c>
      <c r="E48" s="57">
        <f t="shared" si="2"/>
        <v>192.75</v>
      </c>
      <c r="F48" s="56">
        <f t="shared" si="3"/>
        <v>32.980000000000018</v>
      </c>
    </row>
    <row r="49" spans="1:6" x14ac:dyDescent="0.3">
      <c r="A49" s="33" t="s">
        <v>822</v>
      </c>
      <c r="B49" s="34">
        <f>COUNT(November!Y1:AC1)</f>
        <v>5</v>
      </c>
      <c r="C49" s="56">
        <f>November!Y2+November!Z2+November!AA2+November!AB2+November!AC2</f>
        <v>71.400000000000006</v>
      </c>
      <c r="D49" s="57">
        <f>'Factory Hours'!S178</f>
        <v>38.549999999999997</v>
      </c>
      <c r="E49" s="57">
        <f t="shared" si="2"/>
        <v>192.75</v>
      </c>
      <c r="F49" s="56">
        <f t="shared" si="3"/>
        <v>121.35</v>
      </c>
    </row>
    <row r="50" spans="1:6" x14ac:dyDescent="0.3">
      <c r="A50" s="33" t="s">
        <v>823</v>
      </c>
      <c r="B50" s="34">
        <f>COUNT(December!B1:F1)</f>
        <v>5</v>
      </c>
      <c r="C50" s="56">
        <f>December!B2+December!C2+December!D2+December!E2+December!F2</f>
        <v>108.99</v>
      </c>
      <c r="D50" s="57">
        <f>'Factory Hours'!D193</f>
        <v>38.549999999999997</v>
      </c>
      <c r="E50" s="57">
        <f t="shared" si="2"/>
        <v>192.75</v>
      </c>
      <c r="F50" s="56">
        <f t="shared" si="3"/>
        <v>83.76</v>
      </c>
    </row>
    <row r="51" spans="1:6" x14ac:dyDescent="0.3">
      <c r="A51" s="33" t="s">
        <v>824</v>
      </c>
      <c r="B51" s="34">
        <f>COUNT(December!I1:M1)</f>
        <v>5</v>
      </c>
      <c r="C51" s="56">
        <f>December!I2+December!J2+December!K2+December!L2+December!M2</f>
        <v>54.3</v>
      </c>
      <c r="D51" s="57">
        <f>'Factory Hours'!I193</f>
        <v>38.549999999999997</v>
      </c>
      <c r="E51" s="57">
        <f t="shared" si="2"/>
        <v>192.75</v>
      </c>
      <c r="F51" s="56">
        <f t="shared" si="3"/>
        <v>138.44999999999999</v>
      </c>
    </row>
    <row r="52" spans="1:6" x14ac:dyDescent="0.3">
      <c r="A52" s="33" t="s">
        <v>825</v>
      </c>
      <c r="B52" s="34">
        <f>COUNT(December!P1:S1)</f>
        <v>4</v>
      </c>
      <c r="C52" s="56">
        <f>December!P2+December!Q2+December!R2+December!S2</f>
        <v>25</v>
      </c>
      <c r="D52" s="57">
        <f>'Factory Hours'!N193</f>
        <v>38.549999999999997</v>
      </c>
      <c r="E52" s="57">
        <f t="shared" ref="E52" si="4">D52*B52</f>
        <v>154.19999999999999</v>
      </c>
      <c r="F52" s="56">
        <f t="shared" ref="F52" si="5">E52-C52</f>
        <v>129.19999999999999</v>
      </c>
    </row>
  </sheetData>
  <mergeCells count="1">
    <mergeCell ref="A1:F1"/>
  </mergeCells>
  <pageMargins left="0.7" right="0.7" top="0.75" bottom="0.75" header="0.3" footer="0.3"/>
  <ignoredErrors>
    <ignoredError sqref="B5:B6 B8:B52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380E-6607-4661-8A2F-AE4940CB695A}">
  <sheetPr>
    <tabColor rgb="FF92D050"/>
  </sheetPr>
  <dimension ref="A1:X193"/>
  <sheetViews>
    <sheetView topLeftCell="A147" workbookViewId="0">
      <selection activeCell="H180" sqref="H180"/>
    </sheetView>
  </sheetViews>
  <sheetFormatPr defaultRowHeight="14.4" x14ac:dyDescent="0.3"/>
  <cols>
    <col min="2" max="2" width="15.21875" style="35" customWidth="1"/>
    <col min="3" max="3" width="16.77734375" style="35" customWidth="1"/>
    <col min="4" max="4" width="8.77734375" style="35"/>
    <col min="5" max="5" width="1.21875" customWidth="1"/>
    <col min="6" max="6" width="9.44140625" customWidth="1"/>
    <col min="7" max="7" width="15.5546875" customWidth="1"/>
    <col min="8" max="8" width="16.77734375" customWidth="1"/>
    <col min="9" max="9" width="9.21875" customWidth="1"/>
    <col min="10" max="10" width="1.21875" customWidth="1"/>
    <col min="11" max="11" width="9.44140625" customWidth="1"/>
    <col min="12" max="12" width="15.5546875" customWidth="1"/>
    <col min="13" max="13" width="16.77734375" customWidth="1"/>
    <col min="14" max="14" width="9.21875" customWidth="1"/>
    <col min="15" max="15" width="1.21875" customWidth="1"/>
    <col min="16" max="16" width="9.44140625" customWidth="1"/>
    <col min="17" max="17" width="15.5546875" customWidth="1"/>
    <col min="18" max="18" width="16.77734375" customWidth="1"/>
    <col min="19" max="19" width="9.21875" customWidth="1"/>
    <col min="20" max="20" width="1.21875" customWidth="1"/>
    <col min="21" max="21" width="9.21875" customWidth="1"/>
    <col min="22" max="22" width="14.21875" bestFit="1" customWidth="1"/>
    <col min="23" max="23" width="15.21875" bestFit="1" customWidth="1"/>
    <col min="24" max="24" width="10.77734375" customWidth="1"/>
  </cols>
  <sheetData>
    <row r="1" spans="1:14" x14ac:dyDescent="0.3">
      <c r="A1" s="103" t="s">
        <v>826</v>
      </c>
      <c r="B1" s="104"/>
      <c r="C1" s="104"/>
      <c r="D1" s="105"/>
    </row>
    <row r="2" spans="1:14" ht="6" customHeight="1" x14ac:dyDescent="0.3">
      <c r="A2" s="106"/>
      <c r="B2" s="106"/>
      <c r="C2" s="106"/>
      <c r="D2" s="106"/>
    </row>
    <row r="3" spans="1:14" x14ac:dyDescent="0.3">
      <c r="A3" s="36" t="s">
        <v>827</v>
      </c>
      <c r="B3" s="37" t="s">
        <v>828</v>
      </c>
      <c r="C3" s="37" t="s">
        <v>829</v>
      </c>
      <c r="D3" s="37" t="s">
        <v>830</v>
      </c>
    </row>
    <row r="4" spans="1:14" x14ac:dyDescent="0.3">
      <c r="A4" s="33" t="s">
        <v>831</v>
      </c>
      <c r="B4" s="34">
        <v>9</v>
      </c>
      <c r="C4" s="34">
        <v>5</v>
      </c>
      <c r="D4" s="34">
        <f>B4*C4</f>
        <v>45</v>
      </c>
    </row>
    <row r="5" spans="1:14" x14ac:dyDescent="0.3">
      <c r="A5" s="33" t="s">
        <v>832</v>
      </c>
      <c r="B5" s="34">
        <v>9</v>
      </c>
      <c r="C5" s="34">
        <v>5</v>
      </c>
      <c r="D5" s="34">
        <f>B5*C5</f>
        <v>45</v>
      </c>
    </row>
    <row r="6" spans="1:14" x14ac:dyDescent="0.3">
      <c r="A6" s="33" t="s">
        <v>833</v>
      </c>
      <c r="B6" s="34">
        <v>9</v>
      </c>
      <c r="C6" s="34">
        <v>5</v>
      </c>
      <c r="D6" s="34">
        <f>B6*C6</f>
        <v>45</v>
      </c>
    </row>
    <row r="7" spans="1:14" x14ac:dyDescent="0.3">
      <c r="A7" s="33" t="s">
        <v>834</v>
      </c>
      <c r="B7" s="34">
        <v>9</v>
      </c>
      <c r="C7" s="34">
        <v>4</v>
      </c>
      <c r="D7" s="34">
        <f>B7*C7</f>
        <v>36</v>
      </c>
    </row>
    <row r="8" spans="1:14" x14ac:dyDescent="0.3">
      <c r="A8" s="33" t="s">
        <v>835</v>
      </c>
      <c r="B8" s="34">
        <v>9</v>
      </c>
      <c r="C8" s="34">
        <v>5</v>
      </c>
      <c r="D8" s="34">
        <f>B8*C8</f>
        <v>45</v>
      </c>
    </row>
    <row r="9" spans="1:14" ht="5.7" customHeight="1" x14ac:dyDescent="0.3">
      <c r="A9" s="38"/>
      <c r="B9" s="39"/>
      <c r="C9" s="39"/>
      <c r="D9" s="40"/>
    </row>
    <row r="10" spans="1:14" x14ac:dyDescent="0.3">
      <c r="A10" s="107" t="s">
        <v>836</v>
      </c>
      <c r="B10" s="108"/>
      <c r="C10" s="109"/>
      <c r="D10" s="34">
        <f>SUM(D4:D8)</f>
        <v>216</v>
      </c>
    </row>
    <row r="11" spans="1:14" x14ac:dyDescent="0.3">
      <c r="A11" s="107" t="s">
        <v>837</v>
      </c>
      <c r="B11" s="108"/>
      <c r="C11" s="109"/>
      <c r="D11" s="44">
        <v>0.75</v>
      </c>
    </row>
    <row r="12" spans="1:14" x14ac:dyDescent="0.3">
      <c r="A12" s="107" t="s">
        <v>838</v>
      </c>
      <c r="B12" s="108"/>
      <c r="C12" s="109"/>
      <c r="D12" s="34">
        <f>(D10*D11)</f>
        <v>162</v>
      </c>
    </row>
    <row r="13" spans="1:14" x14ac:dyDescent="0.3">
      <c r="A13" s="107" t="s">
        <v>839</v>
      </c>
      <c r="B13" s="108"/>
      <c r="C13" s="109"/>
      <c r="D13" s="45">
        <f>D12/5</f>
        <v>32.4</v>
      </c>
    </row>
    <row r="16" spans="1:14" ht="15.6" x14ac:dyDescent="0.3">
      <c r="A16" s="48" t="s">
        <v>840</v>
      </c>
      <c r="B16" s="46"/>
      <c r="C16" s="46"/>
      <c r="D16" s="46"/>
      <c r="E16" s="47"/>
      <c r="F16" s="48" t="s">
        <v>841</v>
      </c>
      <c r="G16" s="35"/>
      <c r="H16" s="35"/>
      <c r="I16" s="35"/>
      <c r="J16" s="47"/>
      <c r="K16" s="48" t="s">
        <v>842</v>
      </c>
      <c r="L16" s="35"/>
      <c r="M16" s="35"/>
      <c r="N16" s="35"/>
    </row>
    <row r="17" spans="1:19" x14ac:dyDescent="0.3">
      <c r="A17" s="36" t="s">
        <v>827</v>
      </c>
      <c r="B17" s="37" t="s">
        <v>828</v>
      </c>
      <c r="C17" s="37" t="s">
        <v>829</v>
      </c>
      <c r="D17" s="37" t="s">
        <v>830</v>
      </c>
      <c r="E17" s="47"/>
      <c r="F17" s="36" t="s">
        <v>827</v>
      </c>
      <c r="G17" s="37" t="s">
        <v>828</v>
      </c>
      <c r="H17" s="37" t="s">
        <v>829</v>
      </c>
      <c r="I17" s="37" t="s">
        <v>830</v>
      </c>
      <c r="J17" s="47"/>
      <c r="K17" s="36" t="s">
        <v>827</v>
      </c>
      <c r="L17" s="37" t="s">
        <v>828</v>
      </c>
      <c r="M17" s="37" t="s">
        <v>829</v>
      </c>
      <c r="N17" s="37" t="s">
        <v>830</v>
      </c>
    </row>
    <row r="18" spans="1:19" x14ac:dyDescent="0.3">
      <c r="A18" s="33" t="s">
        <v>831</v>
      </c>
      <c r="B18" s="34">
        <v>9</v>
      </c>
      <c r="C18" s="34">
        <v>5</v>
      </c>
      <c r="D18" s="34">
        <f t="shared" ref="D18:D23" si="0">B18*C18</f>
        <v>45</v>
      </c>
      <c r="E18" s="47"/>
      <c r="F18" s="33" t="s">
        <v>831</v>
      </c>
      <c r="G18" s="34">
        <v>9</v>
      </c>
      <c r="H18" s="34">
        <v>5</v>
      </c>
      <c r="I18" s="34">
        <f t="shared" ref="I18:I23" si="1">G18*H18</f>
        <v>45</v>
      </c>
      <c r="J18" s="47"/>
      <c r="K18" s="33" t="s">
        <v>831</v>
      </c>
      <c r="L18" s="34">
        <v>9</v>
      </c>
      <c r="M18" s="34">
        <v>4</v>
      </c>
      <c r="N18" s="34">
        <f t="shared" ref="N18:N23" si="2">L18*M18</f>
        <v>36</v>
      </c>
    </row>
    <row r="19" spans="1:19" x14ac:dyDescent="0.3">
      <c r="A19" s="33" t="s">
        <v>832</v>
      </c>
      <c r="B19" s="34">
        <v>0</v>
      </c>
      <c r="C19" s="34">
        <v>0</v>
      </c>
      <c r="D19" s="34">
        <f t="shared" si="0"/>
        <v>0</v>
      </c>
      <c r="E19" s="47"/>
      <c r="F19" s="33" t="s">
        <v>832</v>
      </c>
      <c r="G19" s="34">
        <v>0</v>
      </c>
      <c r="H19" s="34">
        <v>0</v>
      </c>
      <c r="I19" s="34">
        <f t="shared" si="1"/>
        <v>0</v>
      </c>
      <c r="J19" s="47"/>
      <c r="K19" s="33" t="s">
        <v>832</v>
      </c>
      <c r="L19" s="34">
        <v>0</v>
      </c>
      <c r="M19" s="34">
        <v>0</v>
      </c>
      <c r="N19" s="34">
        <f t="shared" si="2"/>
        <v>0</v>
      </c>
    </row>
    <row r="20" spans="1:19" x14ac:dyDescent="0.3">
      <c r="A20" s="33" t="s">
        <v>833</v>
      </c>
      <c r="B20" s="34">
        <v>9</v>
      </c>
      <c r="C20" s="34">
        <v>5</v>
      </c>
      <c r="D20" s="34">
        <f t="shared" si="0"/>
        <v>45</v>
      </c>
      <c r="E20" s="47"/>
      <c r="F20" s="33" t="s">
        <v>833</v>
      </c>
      <c r="G20" s="34">
        <v>9</v>
      </c>
      <c r="H20" s="34">
        <v>5</v>
      </c>
      <c r="I20" s="34">
        <f t="shared" si="1"/>
        <v>45</v>
      </c>
      <c r="J20" s="47"/>
      <c r="K20" s="33" t="s">
        <v>833</v>
      </c>
      <c r="L20" s="34">
        <v>9</v>
      </c>
      <c r="M20" s="34">
        <v>4</v>
      </c>
      <c r="N20" s="34">
        <f t="shared" si="2"/>
        <v>36</v>
      </c>
    </row>
    <row r="21" spans="1:19" x14ac:dyDescent="0.3">
      <c r="A21" s="33" t="s">
        <v>834</v>
      </c>
      <c r="B21" s="34">
        <v>9</v>
      </c>
      <c r="C21" s="34">
        <v>5</v>
      </c>
      <c r="D21" s="34">
        <f t="shared" si="0"/>
        <v>45</v>
      </c>
      <c r="E21" s="47"/>
      <c r="F21" s="33" t="s">
        <v>834</v>
      </c>
      <c r="G21" s="34">
        <v>9</v>
      </c>
      <c r="H21" s="34">
        <v>5</v>
      </c>
      <c r="I21" s="34">
        <f t="shared" si="1"/>
        <v>45</v>
      </c>
      <c r="J21" s="47"/>
      <c r="K21" s="33" t="s">
        <v>834</v>
      </c>
      <c r="L21" s="34">
        <v>9</v>
      </c>
      <c r="M21" s="34">
        <v>3</v>
      </c>
      <c r="N21" s="34">
        <f t="shared" si="2"/>
        <v>27</v>
      </c>
    </row>
    <row r="22" spans="1:19" ht="15.6" customHeight="1" x14ac:dyDescent="0.3">
      <c r="A22" s="33" t="s">
        <v>843</v>
      </c>
      <c r="B22" s="34">
        <v>9</v>
      </c>
      <c r="C22" s="34">
        <v>5</v>
      </c>
      <c r="D22" s="34">
        <f t="shared" si="0"/>
        <v>45</v>
      </c>
      <c r="E22" s="47"/>
      <c r="F22" s="33" t="s">
        <v>843</v>
      </c>
      <c r="G22" s="34">
        <v>9</v>
      </c>
      <c r="H22" s="34">
        <v>5</v>
      </c>
      <c r="I22" s="34">
        <f t="shared" si="1"/>
        <v>45</v>
      </c>
      <c r="J22" s="47"/>
      <c r="K22" s="33" t="s">
        <v>843</v>
      </c>
      <c r="L22" s="34">
        <v>9</v>
      </c>
      <c r="M22" s="34">
        <v>4</v>
      </c>
      <c r="N22" s="34">
        <f t="shared" si="2"/>
        <v>36</v>
      </c>
    </row>
    <row r="23" spans="1:19" ht="15.6" customHeight="1" x14ac:dyDescent="0.3">
      <c r="A23" s="33" t="s">
        <v>844</v>
      </c>
      <c r="B23" s="34">
        <v>9</v>
      </c>
      <c r="C23" s="34">
        <v>1</v>
      </c>
      <c r="D23" s="34">
        <f t="shared" si="0"/>
        <v>9</v>
      </c>
      <c r="E23" s="47"/>
      <c r="F23" s="33" t="s">
        <v>844</v>
      </c>
      <c r="G23" s="34">
        <v>9</v>
      </c>
      <c r="H23" s="34">
        <v>1</v>
      </c>
      <c r="I23" s="34">
        <f t="shared" si="1"/>
        <v>9</v>
      </c>
      <c r="J23" s="47"/>
      <c r="K23" s="33" t="s">
        <v>844</v>
      </c>
      <c r="L23" s="34">
        <v>5</v>
      </c>
      <c r="M23" s="34">
        <v>4</v>
      </c>
      <c r="N23" s="34">
        <f t="shared" si="2"/>
        <v>20</v>
      </c>
    </row>
    <row r="24" spans="1:19" ht="6" customHeight="1" x14ac:dyDescent="0.3">
      <c r="A24" s="38"/>
      <c r="B24" s="39"/>
      <c r="C24" s="39"/>
      <c r="D24" s="40"/>
      <c r="E24" s="47"/>
      <c r="F24" s="38"/>
      <c r="G24" s="39"/>
      <c r="H24" s="39"/>
      <c r="I24" s="40"/>
      <c r="J24" s="47"/>
      <c r="K24" s="38"/>
      <c r="L24" s="39"/>
      <c r="M24" s="39"/>
      <c r="N24" s="40"/>
    </row>
    <row r="25" spans="1:19" x14ac:dyDescent="0.3">
      <c r="A25" s="107" t="s">
        <v>836</v>
      </c>
      <c r="B25" s="108"/>
      <c r="C25" s="109"/>
      <c r="D25" s="34">
        <f>SUM(D18:D23)</f>
        <v>189</v>
      </c>
      <c r="E25" s="47"/>
      <c r="F25" s="41" t="s">
        <v>836</v>
      </c>
      <c r="G25" s="42"/>
      <c r="H25" s="43"/>
      <c r="I25" s="34">
        <f>SUM(I18:I23)</f>
        <v>189</v>
      </c>
      <c r="J25" s="47"/>
      <c r="K25" s="41" t="s">
        <v>836</v>
      </c>
      <c r="L25" s="42"/>
      <c r="M25" s="43"/>
      <c r="N25" s="34">
        <f>SUM(N18:N23)</f>
        <v>155</v>
      </c>
    </row>
    <row r="26" spans="1:19" x14ac:dyDescent="0.3">
      <c r="A26" s="107" t="s">
        <v>837</v>
      </c>
      <c r="B26" s="108"/>
      <c r="C26" s="109"/>
      <c r="D26" s="44">
        <v>0.75</v>
      </c>
      <c r="E26" s="47"/>
      <c r="F26" s="41" t="s">
        <v>837</v>
      </c>
      <c r="G26" s="42"/>
      <c r="H26" s="43"/>
      <c r="I26" s="44">
        <v>0.75</v>
      </c>
      <c r="J26" s="47"/>
      <c r="K26" s="41" t="s">
        <v>837</v>
      </c>
      <c r="L26" s="42"/>
      <c r="M26" s="43"/>
      <c r="N26" s="44">
        <v>0.75</v>
      </c>
    </row>
    <row r="27" spans="1:19" x14ac:dyDescent="0.3">
      <c r="A27" s="107" t="s">
        <v>838</v>
      </c>
      <c r="B27" s="108"/>
      <c r="C27" s="109"/>
      <c r="D27" s="34">
        <f>(D25*D26)</f>
        <v>141.75</v>
      </c>
      <c r="E27" s="47"/>
      <c r="F27" s="41" t="s">
        <v>838</v>
      </c>
      <c r="G27" s="42"/>
      <c r="H27" s="43"/>
      <c r="I27" s="34">
        <f>(I25*I26)</f>
        <v>141.75</v>
      </c>
      <c r="J27" s="47"/>
      <c r="K27" s="41" t="s">
        <v>838</v>
      </c>
      <c r="L27" s="42"/>
      <c r="M27" s="43"/>
      <c r="N27" s="34">
        <f>(N25*N26)</f>
        <v>116.25</v>
      </c>
    </row>
    <row r="28" spans="1:19" x14ac:dyDescent="0.3">
      <c r="A28" s="107" t="s">
        <v>839</v>
      </c>
      <c r="B28" s="108"/>
      <c r="C28" s="109"/>
      <c r="D28" s="45">
        <f>D27/5</f>
        <v>28.35</v>
      </c>
      <c r="E28" s="47"/>
      <c r="F28" s="107" t="s">
        <v>839</v>
      </c>
      <c r="G28" s="108"/>
      <c r="H28" s="109"/>
      <c r="I28" s="45">
        <f>I27/5</f>
        <v>28.35</v>
      </c>
      <c r="J28" s="47"/>
      <c r="K28" s="41" t="s">
        <v>839</v>
      </c>
      <c r="L28" s="42"/>
      <c r="M28" s="43"/>
      <c r="N28" s="45">
        <f>N27/5</f>
        <v>23.25</v>
      </c>
    </row>
    <row r="31" spans="1:19" ht="15.6" x14ac:dyDescent="0.3">
      <c r="A31" s="48" t="s">
        <v>845</v>
      </c>
      <c r="B31" s="46"/>
      <c r="C31" s="46"/>
      <c r="D31" s="46"/>
      <c r="F31" s="48" t="s">
        <v>846</v>
      </c>
      <c r="G31" s="46"/>
      <c r="H31" s="46"/>
      <c r="I31" s="46"/>
      <c r="K31" s="48" t="s">
        <v>847</v>
      </c>
      <c r="L31" s="46"/>
      <c r="M31" s="46"/>
      <c r="N31" s="46"/>
      <c r="P31" s="48" t="s">
        <v>848</v>
      </c>
      <c r="Q31" s="46"/>
      <c r="R31" s="46"/>
      <c r="S31" s="46"/>
    </row>
    <row r="32" spans="1:19" x14ac:dyDescent="0.3">
      <c r="A32" s="36" t="s">
        <v>827</v>
      </c>
      <c r="B32" s="37" t="s">
        <v>828</v>
      </c>
      <c r="C32" s="37" t="s">
        <v>829</v>
      </c>
      <c r="D32" s="37" t="s">
        <v>830</v>
      </c>
      <c r="F32" s="36" t="s">
        <v>827</v>
      </c>
      <c r="G32" s="37" t="s">
        <v>828</v>
      </c>
      <c r="H32" s="37" t="s">
        <v>829</v>
      </c>
      <c r="I32" s="37" t="s">
        <v>830</v>
      </c>
      <c r="K32" s="36" t="s">
        <v>827</v>
      </c>
      <c r="L32" s="37" t="s">
        <v>828</v>
      </c>
      <c r="M32" s="37" t="s">
        <v>829</v>
      </c>
      <c r="N32" s="37" t="s">
        <v>830</v>
      </c>
      <c r="P32" s="36" t="s">
        <v>827</v>
      </c>
      <c r="Q32" s="37" t="s">
        <v>828</v>
      </c>
      <c r="R32" s="37" t="s">
        <v>829</v>
      </c>
      <c r="S32" s="37" t="s">
        <v>830</v>
      </c>
    </row>
    <row r="33" spans="1:19" x14ac:dyDescent="0.3">
      <c r="A33" s="33" t="s">
        <v>831</v>
      </c>
      <c r="B33" s="34">
        <v>9</v>
      </c>
      <c r="C33" s="34">
        <v>4</v>
      </c>
      <c r="D33" s="34">
        <f t="shared" ref="D33:D38" si="3">B33*C33</f>
        <v>36</v>
      </c>
      <c r="F33" s="33" t="s">
        <v>831</v>
      </c>
      <c r="G33" s="34">
        <v>9</v>
      </c>
      <c r="H33" s="34">
        <v>5</v>
      </c>
      <c r="I33" s="34">
        <f t="shared" ref="I33:I38" si="4">G33*H33</f>
        <v>45</v>
      </c>
      <c r="K33" s="33" t="s">
        <v>831</v>
      </c>
      <c r="L33" s="34">
        <v>9</v>
      </c>
      <c r="M33" s="34">
        <v>5</v>
      </c>
      <c r="N33" s="34">
        <f t="shared" ref="N33:N39" si="5">L33*M33</f>
        <v>45</v>
      </c>
      <c r="P33" s="33" t="s">
        <v>831</v>
      </c>
      <c r="Q33" s="34">
        <v>9</v>
      </c>
      <c r="R33" s="34">
        <v>5</v>
      </c>
      <c r="S33" s="34">
        <f t="shared" ref="S33:S39" si="6">Q33*R33</f>
        <v>45</v>
      </c>
    </row>
    <row r="34" spans="1:19" x14ac:dyDescent="0.3">
      <c r="A34" s="33" t="s">
        <v>832</v>
      </c>
      <c r="B34" s="34">
        <v>0</v>
      </c>
      <c r="C34" s="34">
        <v>0</v>
      </c>
      <c r="D34" s="34">
        <f t="shared" si="3"/>
        <v>0</v>
      </c>
      <c r="F34" s="33" t="s">
        <v>832</v>
      </c>
      <c r="G34" s="34">
        <v>9</v>
      </c>
      <c r="H34" s="34">
        <v>5</v>
      </c>
      <c r="I34" s="34">
        <f t="shared" si="4"/>
        <v>45</v>
      </c>
      <c r="K34" s="33" t="s">
        <v>832</v>
      </c>
      <c r="L34" s="34">
        <v>9</v>
      </c>
      <c r="M34" s="34">
        <v>5</v>
      </c>
      <c r="N34" s="34">
        <f t="shared" si="5"/>
        <v>45</v>
      </c>
      <c r="P34" s="33" t="s">
        <v>832</v>
      </c>
      <c r="Q34" s="34">
        <v>9</v>
      </c>
      <c r="R34" s="34">
        <v>5</v>
      </c>
      <c r="S34" s="34">
        <f t="shared" si="6"/>
        <v>45</v>
      </c>
    </row>
    <row r="35" spans="1:19" x14ac:dyDescent="0.3">
      <c r="A35" s="33" t="s">
        <v>833</v>
      </c>
      <c r="B35" s="34">
        <v>9</v>
      </c>
      <c r="C35" s="34">
        <v>4</v>
      </c>
      <c r="D35" s="34">
        <f t="shared" si="3"/>
        <v>36</v>
      </c>
      <c r="F35" s="33" t="s">
        <v>833</v>
      </c>
      <c r="G35" s="34">
        <v>9</v>
      </c>
      <c r="H35" s="34">
        <v>5</v>
      </c>
      <c r="I35" s="34">
        <f t="shared" si="4"/>
        <v>45</v>
      </c>
      <c r="K35" s="33" t="s">
        <v>833</v>
      </c>
      <c r="L35" s="34">
        <v>9</v>
      </c>
      <c r="M35" s="34">
        <v>5</v>
      </c>
      <c r="N35" s="34">
        <f t="shared" si="5"/>
        <v>45</v>
      </c>
      <c r="P35" s="33" t="s">
        <v>833</v>
      </c>
      <c r="Q35" s="34">
        <v>9</v>
      </c>
      <c r="R35" s="34">
        <v>5</v>
      </c>
      <c r="S35" s="34">
        <f t="shared" si="6"/>
        <v>45</v>
      </c>
    </row>
    <row r="36" spans="1:19" x14ac:dyDescent="0.3">
      <c r="A36" s="33" t="s">
        <v>834</v>
      </c>
      <c r="B36" s="34">
        <v>9</v>
      </c>
      <c r="C36" s="34">
        <v>4</v>
      </c>
      <c r="D36" s="34">
        <f t="shared" si="3"/>
        <v>36</v>
      </c>
      <c r="F36" s="33" t="s">
        <v>834</v>
      </c>
      <c r="G36" s="34">
        <v>9</v>
      </c>
      <c r="H36" s="34">
        <v>5</v>
      </c>
      <c r="I36" s="34">
        <f t="shared" si="4"/>
        <v>45</v>
      </c>
      <c r="K36" s="33" t="s">
        <v>834</v>
      </c>
      <c r="L36" s="34">
        <v>9</v>
      </c>
      <c r="M36" s="34">
        <v>5</v>
      </c>
      <c r="N36" s="34">
        <f t="shared" si="5"/>
        <v>45</v>
      </c>
      <c r="P36" s="33" t="s">
        <v>834</v>
      </c>
      <c r="Q36" s="34">
        <v>9</v>
      </c>
      <c r="R36" s="34">
        <v>5</v>
      </c>
      <c r="S36" s="34">
        <f t="shared" si="6"/>
        <v>45</v>
      </c>
    </row>
    <row r="37" spans="1:19" x14ac:dyDescent="0.3">
      <c r="A37" s="33" t="s">
        <v>843</v>
      </c>
      <c r="B37" s="34">
        <v>9</v>
      </c>
      <c r="C37" s="34">
        <v>4</v>
      </c>
      <c r="D37" s="34">
        <f t="shared" si="3"/>
        <v>36</v>
      </c>
      <c r="F37" s="33" t="s">
        <v>843</v>
      </c>
      <c r="G37" s="34">
        <v>9</v>
      </c>
      <c r="H37" s="34">
        <v>5</v>
      </c>
      <c r="I37" s="34">
        <f t="shared" si="4"/>
        <v>45</v>
      </c>
      <c r="K37" s="33" t="s">
        <v>835</v>
      </c>
      <c r="L37" s="34">
        <v>9</v>
      </c>
      <c r="M37" s="34">
        <v>3</v>
      </c>
      <c r="N37" s="34">
        <f t="shared" si="5"/>
        <v>27</v>
      </c>
      <c r="P37" s="33" t="s">
        <v>835</v>
      </c>
      <c r="Q37" s="34">
        <v>9</v>
      </c>
      <c r="R37" s="34">
        <v>5</v>
      </c>
      <c r="S37" s="34">
        <f t="shared" si="6"/>
        <v>45</v>
      </c>
    </row>
    <row r="38" spans="1:19" x14ac:dyDescent="0.3">
      <c r="A38" s="68" t="s">
        <v>849</v>
      </c>
      <c r="B38" s="69">
        <v>7.1</v>
      </c>
      <c r="C38" s="69">
        <v>4</v>
      </c>
      <c r="D38" s="69">
        <f t="shared" si="3"/>
        <v>28.4</v>
      </c>
      <c r="E38" s="17"/>
      <c r="F38" s="68" t="s">
        <v>849</v>
      </c>
      <c r="G38" s="69">
        <v>7.1</v>
      </c>
      <c r="H38" s="69">
        <v>5</v>
      </c>
      <c r="I38" s="69">
        <f t="shared" si="4"/>
        <v>35.5</v>
      </c>
      <c r="J38" s="17"/>
      <c r="K38" s="68" t="s">
        <v>849</v>
      </c>
      <c r="L38" s="69">
        <v>7.1</v>
      </c>
      <c r="M38" s="69">
        <v>5</v>
      </c>
      <c r="N38" s="69">
        <f t="shared" si="5"/>
        <v>35.5</v>
      </c>
      <c r="O38" s="17"/>
      <c r="P38" s="68" t="s">
        <v>849</v>
      </c>
      <c r="Q38" s="69">
        <v>7.1</v>
      </c>
      <c r="R38" s="69">
        <v>5</v>
      </c>
      <c r="S38" s="69">
        <f t="shared" si="6"/>
        <v>35.5</v>
      </c>
    </row>
    <row r="39" spans="1:19" x14ac:dyDescent="0.3">
      <c r="A39" s="33"/>
      <c r="B39" s="34"/>
      <c r="C39" s="34"/>
      <c r="D39" s="34"/>
      <c r="F39" s="33"/>
      <c r="G39" s="34"/>
      <c r="H39" s="34"/>
      <c r="I39" s="34"/>
      <c r="K39" s="33"/>
      <c r="L39" s="34"/>
      <c r="M39" s="34"/>
      <c r="N39" s="34">
        <f t="shared" si="5"/>
        <v>0</v>
      </c>
      <c r="P39" s="33"/>
      <c r="Q39" s="34"/>
      <c r="R39" s="34"/>
      <c r="S39" s="34">
        <f t="shared" si="6"/>
        <v>0</v>
      </c>
    </row>
    <row r="40" spans="1:19" x14ac:dyDescent="0.3">
      <c r="A40" s="102" t="s">
        <v>836</v>
      </c>
      <c r="B40" s="102"/>
      <c r="C40" s="102"/>
      <c r="D40" s="34">
        <f>SUM(D33:D38)</f>
        <v>172.4</v>
      </c>
      <c r="F40" s="102" t="s">
        <v>836</v>
      </c>
      <c r="G40" s="102"/>
      <c r="H40" s="102"/>
      <c r="I40" s="34">
        <f>SUM(I33:I38)</f>
        <v>260.5</v>
      </c>
      <c r="K40" s="102" t="s">
        <v>836</v>
      </c>
      <c r="L40" s="102"/>
      <c r="M40" s="102"/>
      <c r="N40" s="34">
        <f>SUM(N33:N39)</f>
        <v>242.5</v>
      </c>
      <c r="P40" s="102" t="s">
        <v>836</v>
      </c>
      <c r="Q40" s="102"/>
      <c r="R40" s="102"/>
      <c r="S40" s="34">
        <f>SUM(S33:S39)</f>
        <v>260.5</v>
      </c>
    </row>
    <row r="41" spans="1:19" x14ac:dyDescent="0.3">
      <c r="A41" s="102" t="s">
        <v>837</v>
      </c>
      <c r="B41" s="102"/>
      <c r="C41" s="102"/>
      <c r="D41" s="44">
        <v>0.75</v>
      </c>
      <c r="F41" s="102" t="s">
        <v>837</v>
      </c>
      <c r="G41" s="102"/>
      <c r="H41" s="102"/>
      <c r="I41" s="44">
        <v>0.75</v>
      </c>
      <c r="K41" s="102" t="s">
        <v>837</v>
      </c>
      <c r="L41" s="102"/>
      <c r="M41" s="102"/>
      <c r="N41" s="44">
        <v>0.75</v>
      </c>
      <c r="P41" s="102" t="s">
        <v>837</v>
      </c>
      <c r="Q41" s="102"/>
      <c r="R41" s="102"/>
      <c r="S41" s="44">
        <v>0.75</v>
      </c>
    </row>
    <row r="42" spans="1:19" x14ac:dyDescent="0.3">
      <c r="A42" s="102" t="s">
        <v>838</v>
      </c>
      <c r="B42" s="102"/>
      <c r="C42" s="102"/>
      <c r="D42" s="34">
        <f>(D40*D41)</f>
        <v>129.30000000000001</v>
      </c>
      <c r="F42" s="102" t="s">
        <v>838</v>
      </c>
      <c r="G42" s="102"/>
      <c r="H42" s="102"/>
      <c r="I42" s="34">
        <f>(I40*I41)</f>
        <v>195.375</v>
      </c>
      <c r="K42" s="102" t="s">
        <v>838</v>
      </c>
      <c r="L42" s="102"/>
      <c r="M42" s="102"/>
      <c r="N42" s="34">
        <f>(N40*N41)</f>
        <v>181.875</v>
      </c>
      <c r="P42" s="102" t="s">
        <v>838</v>
      </c>
      <c r="Q42" s="102"/>
      <c r="R42" s="102"/>
      <c r="S42" s="34">
        <f>(S40*S41)</f>
        <v>195.375</v>
      </c>
    </row>
    <row r="43" spans="1:19" x14ac:dyDescent="0.3">
      <c r="A43" s="102" t="s">
        <v>839</v>
      </c>
      <c r="B43" s="102"/>
      <c r="C43" s="102"/>
      <c r="D43" s="45">
        <f>D42/5</f>
        <v>25.860000000000003</v>
      </c>
      <c r="F43" s="102" t="s">
        <v>839</v>
      </c>
      <c r="G43" s="102"/>
      <c r="H43" s="102"/>
      <c r="I43" s="45">
        <f>I42/5</f>
        <v>39.075000000000003</v>
      </c>
      <c r="K43" s="102" t="s">
        <v>839</v>
      </c>
      <c r="L43" s="102"/>
      <c r="M43" s="102"/>
      <c r="N43" s="45">
        <f>N42/5</f>
        <v>36.375</v>
      </c>
      <c r="P43" s="102" t="s">
        <v>839</v>
      </c>
      <c r="Q43" s="102"/>
      <c r="R43" s="102"/>
      <c r="S43" s="45">
        <f>S42/5</f>
        <v>39.075000000000003</v>
      </c>
    </row>
    <row r="44" spans="1:19" x14ac:dyDescent="0.3">
      <c r="B44"/>
      <c r="C44"/>
      <c r="D44"/>
    </row>
    <row r="45" spans="1:19" x14ac:dyDescent="0.3">
      <c r="B45"/>
      <c r="C45"/>
      <c r="D45"/>
    </row>
    <row r="46" spans="1:19" x14ac:dyDescent="0.3">
      <c r="A46" s="67" t="s">
        <v>850</v>
      </c>
      <c r="F46" s="67" t="s">
        <v>851</v>
      </c>
      <c r="G46" s="35"/>
      <c r="H46" s="35"/>
      <c r="I46" s="35"/>
      <c r="K46" s="67" t="s">
        <v>852</v>
      </c>
      <c r="L46" s="35"/>
      <c r="M46" s="35"/>
      <c r="N46" s="35"/>
      <c r="P46" s="67" t="s">
        <v>853</v>
      </c>
      <c r="Q46" s="35"/>
      <c r="R46" s="35"/>
      <c r="S46" s="35"/>
    </row>
    <row r="47" spans="1:19" x14ac:dyDescent="0.3">
      <c r="A47" s="36" t="s">
        <v>827</v>
      </c>
      <c r="B47" s="37" t="s">
        <v>828</v>
      </c>
      <c r="C47" s="37" t="s">
        <v>829</v>
      </c>
      <c r="D47" s="37" t="s">
        <v>830</v>
      </c>
      <c r="F47" s="36" t="s">
        <v>827</v>
      </c>
      <c r="G47" s="37" t="s">
        <v>828</v>
      </c>
      <c r="H47" s="37" t="s">
        <v>829</v>
      </c>
      <c r="I47" s="37" t="s">
        <v>830</v>
      </c>
      <c r="K47" s="36" t="s">
        <v>827</v>
      </c>
      <c r="L47" s="37" t="s">
        <v>828</v>
      </c>
      <c r="M47" s="37" t="s">
        <v>829</v>
      </c>
      <c r="N47" s="37" t="s">
        <v>830</v>
      </c>
      <c r="P47" s="36" t="s">
        <v>827</v>
      </c>
      <c r="Q47" s="37" t="s">
        <v>828</v>
      </c>
      <c r="R47" s="37" t="s">
        <v>829</v>
      </c>
      <c r="S47" s="37" t="s">
        <v>830</v>
      </c>
    </row>
    <row r="48" spans="1:19" x14ac:dyDescent="0.3">
      <c r="A48" s="33" t="s">
        <v>831</v>
      </c>
      <c r="B48" s="34">
        <v>9</v>
      </c>
      <c r="C48" s="34">
        <v>5</v>
      </c>
      <c r="D48" s="34">
        <f t="shared" ref="D48:D54" si="7">B48*C48</f>
        <v>45</v>
      </c>
      <c r="F48" s="33" t="s">
        <v>831</v>
      </c>
      <c r="G48" s="34">
        <v>9</v>
      </c>
      <c r="H48" s="34">
        <v>5</v>
      </c>
      <c r="I48" s="34">
        <f t="shared" ref="I48:I54" si="8">G48*H48</f>
        <v>45</v>
      </c>
      <c r="K48" s="33" t="s">
        <v>831</v>
      </c>
      <c r="L48" s="34">
        <v>9</v>
      </c>
      <c r="M48" s="34">
        <v>5</v>
      </c>
      <c r="N48" s="34">
        <f t="shared" ref="N48:N54" si="9">L48*M48</f>
        <v>45</v>
      </c>
      <c r="P48" s="33" t="s">
        <v>831</v>
      </c>
      <c r="Q48" s="34">
        <v>9</v>
      </c>
      <c r="R48" s="34">
        <v>5</v>
      </c>
      <c r="S48" s="34">
        <f t="shared" ref="S48:S54" si="10">Q48*R48</f>
        <v>45</v>
      </c>
    </row>
    <row r="49" spans="1:19" x14ac:dyDescent="0.3">
      <c r="A49" s="33" t="s">
        <v>832</v>
      </c>
      <c r="B49" s="34">
        <v>9</v>
      </c>
      <c r="C49" s="34">
        <v>5</v>
      </c>
      <c r="D49" s="34">
        <f t="shared" si="7"/>
        <v>45</v>
      </c>
      <c r="F49" s="33" t="s">
        <v>832</v>
      </c>
      <c r="G49" s="34">
        <v>9</v>
      </c>
      <c r="H49" s="34">
        <v>5</v>
      </c>
      <c r="I49" s="34">
        <f t="shared" si="8"/>
        <v>45</v>
      </c>
      <c r="K49" s="33" t="s">
        <v>832</v>
      </c>
      <c r="L49" s="34">
        <v>9</v>
      </c>
      <c r="M49" s="34">
        <v>5</v>
      </c>
      <c r="N49" s="34">
        <f t="shared" si="9"/>
        <v>45</v>
      </c>
      <c r="P49" s="33" t="s">
        <v>832</v>
      </c>
      <c r="Q49" s="34">
        <v>9</v>
      </c>
      <c r="R49" s="34">
        <v>5</v>
      </c>
      <c r="S49" s="34">
        <f t="shared" si="10"/>
        <v>45</v>
      </c>
    </row>
    <row r="50" spans="1:19" x14ac:dyDescent="0.3">
      <c r="A50" s="33" t="s">
        <v>833</v>
      </c>
      <c r="B50" s="34">
        <v>9</v>
      </c>
      <c r="C50" s="34">
        <v>5</v>
      </c>
      <c r="D50" s="34">
        <f t="shared" si="7"/>
        <v>45</v>
      </c>
      <c r="F50" s="33" t="s">
        <v>833</v>
      </c>
      <c r="G50" s="34">
        <v>9</v>
      </c>
      <c r="H50" s="34">
        <v>5</v>
      </c>
      <c r="I50" s="34">
        <f t="shared" si="8"/>
        <v>45</v>
      </c>
      <c r="K50" s="33" t="s">
        <v>833</v>
      </c>
      <c r="L50" s="34">
        <v>9</v>
      </c>
      <c r="M50" s="34">
        <v>5</v>
      </c>
      <c r="N50" s="34">
        <f t="shared" si="9"/>
        <v>45</v>
      </c>
      <c r="P50" s="33" t="s">
        <v>833</v>
      </c>
      <c r="Q50" s="34">
        <v>9</v>
      </c>
      <c r="R50" s="34">
        <v>5</v>
      </c>
      <c r="S50" s="34">
        <f t="shared" si="10"/>
        <v>45</v>
      </c>
    </row>
    <row r="51" spans="1:19" x14ac:dyDescent="0.3">
      <c r="A51" s="33" t="s">
        <v>834</v>
      </c>
      <c r="B51" s="34">
        <v>9</v>
      </c>
      <c r="C51" s="34">
        <v>5</v>
      </c>
      <c r="D51" s="34">
        <f t="shared" si="7"/>
        <v>45</v>
      </c>
      <c r="F51" s="33" t="s">
        <v>834</v>
      </c>
      <c r="G51" s="34">
        <v>9</v>
      </c>
      <c r="H51" s="34">
        <v>5</v>
      </c>
      <c r="I51" s="34">
        <f t="shared" si="8"/>
        <v>45</v>
      </c>
      <c r="K51" s="33" t="s">
        <v>834</v>
      </c>
      <c r="L51" s="34">
        <v>9</v>
      </c>
      <c r="M51" s="34">
        <v>4</v>
      </c>
      <c r="N51" s="34">
        <f t="shared" si="9"/>
        <v>36</v>
      </c>
      <c r="P51" s="33" t="s">
        <v>834</v>
      </c>
      <c r="Q51" s="34">
        <v>9</v>
      </c>
      <c r="R51" s="34">
        <v>4</v>
      </c>
      <c r="S51" s="34">
        <f t="shared" si="10"/>
        <v>36</v>
      </c>
    </row>
    <row r="52" spans="1:19" x14ac:dyDescent="0.3">
      <c r="A52" s="33" t="s">
        <v>835</v>
      </c>
      <c r="B52" s="34">
        <v>9</v>
      </c>
      <c r="C52" s="34">
        <v>5</v>
      </c>
      <c r="D52" s="34">
        <f t="shared" si="7"/>
        <v>45</v>
      </c>
      <c r="F52" s="33" t="s">
        <v>835</v>
      </c>
      <c r="G52" s="34">
        <v>9</v>
      </c>
      <c r="H52" s="34">
        <v>5</v>
      </c>
      <c r="I52" s="34">
        <f t="shared" si="8"/>
        <v>45</v>
      </c>
      <c r="K52" s="33" t="s">
        <v>835</v>
      </c>
      <c r="L52" s="34">
        <v>9</v>
      </c>
      <c r="M52" s="34">
        <v>5</v>
      </c>
      <c r="N52" s="34">
        <f t="shared" si="9"/>
        <v>45</v>
      </c>
      <c r="P52" s="33" t="s">
        <v>835</v>
      </c>
      <c r="Q52" s="34">
        <v>9</v>
      </c>
      <c r="R52" s="34">
        <v>5</v>
      </c>
      <c r="S52" s="34">
        <f t="shared" si="10"/>
        <v>45</v>
      </c>
    </row>
    <row r="53" spans="1:19" ht="14.1" customHeight="1" x14ac:dyDescent="0.3">
      <c r="A53" s="68" t="s">
        <v>849</v>
      </c>
      <c r="B53" s="69">
        <v>7.1</v>
      </c>
      <c r="C53" s="69">
        <v>5</v>
      </c>
      <c r="D53" s="69">
        <f t="shared" si="7"/>
        <v>35.5</v>
      </c>
      <c r="E53" s="17"/>
      <c r="F53" s="68" t="s">
        <v>849</v>
      </c>
      <c r="G53" s="69">
        <v>7.1</v>
      </c>
      <c r="H53" s="69">
        <v>5</v>
      </c>
      <c r="I53" s="69">
        <f t="shared" si="8"/>
        <v>35.5</v>
      </c>
      <c r="K53" s="68" t="s">
        <v>849</v>
      </c>
      <c r="L53" s="69">
        <v>7.1</v>
      </c>
      <c r="M53" s="69">
        <v>5</v>
      </c>
      <c r="N53" s="69">
        <f t="shared" si="9"/>
        <v>35.5</v>
      </c>
      <c r="P53" s="68" t="s">
        <v>849</v>
      </c>
      <c r="Q53" s="69">
        <v>7.1</v>
      </c>
      <c r="R53" s="69">
        <v>5</v>
      </c>
      <c r="S53" s="69">
        <f t="shared" si="10"/>
        <v>35.5</v>
      </c>
    </row>
    <row r="54" spans="1:19" x14ac:dyDescent="0.3">
      <c r="A54" s="33"/>
      <c r="B54" s="34"/>
      <c r="C54" s="34"/>
      <c r="D54" s="34">
        <f t="shared" si="7"/>
        <v>0</v>
      </c>
      <c r="F54" s="33"/>
      <c r="G54" s="34"/>
      <c r="H54" s="34"/>
      <c r="I54" s="34">
        <f t="shared" si="8"/>
        <v>0</v>
      </c>
      <c r="K54" s="33"/>
      <c r="L54" s="34"/>
      <c r="M54" s="34"/>
      <c r="N54" s="34">
        <f t="shared" si="9"/>
        <v>0</v>
      </c>
      <c r="P54" s="33"/>
      <c r="Q54" s="34"/>
      <c r="R54" s="34"/>
      <c r="S54" s="34">
        <f t="shared" si="10"/>
        <v>0</v>
      </c>
    </row>
    <row r="55" spans="1:19" x14ac:dyDescent="0.3">
      <c r="A55" s="102" t="s">
        <v>836</v>
      </c>
      <c r="B55" s="102"/>
      <c r="C55" s="102"/>
      <c r="D55" s="34">
        <f>SUM(D48:D54)</f>
        <v>260.5</v>
      </c>
      <c r="F55" s="102" t="s">
        <v>836</v>
      </c>
      <c r="G55" s="102"/>
      <c r="H55" s="102"/>
      <c r="I55" s="34">
        <f>SUM(I48:I54)</f>
        <v>260.5</v>
      </c>
      <c r="K55" s="102" t="s">
        <v>836</v>
      </c>
      <c r="L55" s="102"/>
      <c r="M55" s="102"/>
      <c r="N55" s="34">
        <f>SUM(N48:N54)</f>
        <v>251.5</v>
      </c>
      <c r="P55" s="102" t="s">
        <v>836</v>
      </c>
      <c r="Q55" s="102"/>
      <c r="R55" s="102"/>
      <c r="S55" s="34">
        <f>SUM(S48:S54)</f>
        <v>251.5</v>
      </c>
    </row>
    <row r="56" spans="1:19" x14ac:dyDescent="0.3">
      <c r="A56" s="102" t="s">
        <v>837</v>
      </c>
      <c r="B56" s="102"/>
      <c r="C56" s="102"/>
      <c r="D56" s="44">
        <v>0.75</v>
      </c>
      <c r="F56" s="102" t="s">
        <v>837</v>
      </c>
      <c r="G56" s="102"/>
      <c r="H56" s="102"/>
      <c r="I56" s="44">
        <v>0.75</v>
      </c>
      <c r="K56" s="102" t="s">
        <v>837</v>
      </c>
      <c r="L56" s="102"/>
      <c r="M56" s="102"/>
      <c r="N56" s="44">
        <v>0.75</v>
      </c>
      <c r="P56" s="102" t="s">
        <v>837</v>
      </c>
      <c r="Q56" s="102"/>
      <c r="R56" s="102"/>
      <c r="S56" s="44">
        <v>0.75</v>
      </c>
    </row>
    <row r="57" spans="1:19" x14ac:dyDescent="0.3">
      <c r="A57" s="102" t="s">
        <v>838</v>
      </c>
      <c r="B57" s="102"/>
      <c r="C57" s="102"/>
      <c r="D57" s="34">
        <f>(D55*D56)</f>
        <v>195.375</v>
      </c>
      <c r="F57" s="102" t="s">
        <v>838</v>
      </c>
      <c r="G57" s="102"/>
      <c r="H57" s="102"/>
      <c r="I57" s="34">
        <f>(I55*I56)</f>
        <v>195.375</v>
      </c>
      <c r="K57" s="102" t="s">
        <v>838</v>
      </c>
      <c r="L57" s="102"/>
      <c r="M57" s="102"/>
      <c r="N57" s="34">
        <f>(N55*N56)</f>
        <v>188.625</v>
      </c>
      <c r="P57" s="102" t="s">
        <v>838</v>
      </c>
      <c r="Q57" s="102"/>
      <c r="R57" s="102"/>
      <c r="S57" s="34">
        <f>(S55*S56)</f>
        <v>188.625</v>
      </c>
    </row>
    <row r="58" spans="1:19" x14ac:dyDescent="0.3">
      <c r="A58" s="102" t="s">
        <v>839</v>
      </c>
      <c r="B58" s="102"/>
      <c r="C58" s="102"/>
      <c r="D58" s="45">
        <f>D57/5</f>
        <v>39.075000000000003</v>
      </c>
      <c r="F58" s="102" t="s">
        <v>839</v>
      </c>
      <c r="G58" s="102"/>
      <c r="H58" s="102"/>
      <c r="I58" s="45">
        <f>I57/5</f>
        <v>39.075000000000003</v>
      </c>
      <c r="K58" s="102" t="s">
        <v>839</v>
      </c>
      <c r="L58" s="102"/>
      <c r="M58" s="102"/>
      <c r="N58" s="45">
        <f>N57/5</f>
        <v>37.725000000000001</v>
      </c>
      <c r="P58" s="102" t="s">
        <v>839</v>
      </c>
      <c r="Q58" s="102"/>
      <c r="R58" s="102"/>
      <c r="S58" s="45">
        <f>S57/5</f>
        <v>37.725000000000001</v>
      </c>
    </row>
    <row r="59" spans="1:19" x14ac:dyDescent="0.3">
      <c r="B59"/>
      <c r="C59"/>
      <c r="D59"/>
    </row>
    <row r="60" spans="1:19" x14ac:dyDescent="0.3">
      <c r="B60"/>
      <c r="C60"/>
      <c r="D60"/>
    </row>
    <row r="61" spans="1:19" x14ac:dyDescent="0.3">
      <c r="A61" s="67" t="s">
        <v>854</v>
      </c>
      <c r="F61" s="67" t="s">
        <v>855</v>
      </c>
      <c r="G61" s="35"/>
      <c r="H61" s="35"/>
      <c r="I61" s="35"/>
      <c r="K61" s="67" t="s">
        <v>856</v>
      </c>
      <c r="L61" s="35"/>
      <c r="M61" s="35"/>
      <c r="N61" s="35"/>
      <c r="P61" s="67" t="s">
        <v>857</v>
      </c>
      <c r="Q61" s="35"/>
      <c r="R61" s="35"/>
      <c r="S61" s="35"/>
    </row>
    <row r="62" spans="1:19" x14ac:dyDescent="0.3">
      <c r="A62" s="36" t="s">
        <v>827</v>
      </c>
      <c r="B62" s="37" t="s">
        <v>828</v>
      </c>
      <c r="C62" s="37" t="s">
        <v>829</v>
      </c>
      <c r="D62" s="37" t="s">
        <v>830</v>
      </c>
      <c r="F62" s="36" t="s">
        <v>827</v>
      </c>
      <c r="G62" s="37" t="s">
        <v>828</v>
      </c>
      <c r="H62" s="37" t="s">
        <v>829</v>
      </c>
      <c r="I62" s="37" t="s">
        <v>830</v>
      </c>
      <c r="K62" s="36" t="s">
        <v>827</v>
      </c>
      <c r="L62" s="37" t="s">
        <v>828</v>
      </c>
      <c r="M62" s="37" t="s">
        <v>829</v>
      </c>
      <c r="N62" s="37" t="s">
        <v>830</v>
      </c>
      <c r="P62" s="36" t="s">
        <v>827</v>
      </c>
      <c r="Q62" s="37" t="s">
        <v>828</v>
      </c>
      <c r="R62" s="37" t="s">
        <v>829</v>
      </c>
      <c r="S62" s="37" t="s">
        <v>830</v>
      </c>
    </row>
    <row r="63" spans="1:19" x14ac:dyDescent="0.3">
      <c r="A63" s="33" t="s">
        <v>831</v>
      </c>
      <c r="B63" s="34">
        <v>9</v>
      </c>
      <c r="C63" s="34">
        <v>5</v>
      </c>
      <c r="D63" s="34">
        <f t="shared" ref="D63:D69" si="11">B63*C63</f>
        <v>45</v>
      </c>
      <c r="F63" s="33" t="s">
        <v>831</v>
      </c>
      <c r="G63" s="34">
        <v>9</v>
      </c>
      <c r="H63" s="34">
        <v>5</v>
      </c>
      <c r="I63" s="34">
        <f t="shared" ref="I63:I69" si="12">G63*H63</f>
        <v>45</v>
      </c>
      <c r="K63" s="33" t="s">
        <v>831</v>
      </c>
      <c r="L63" s="34">
        <v>8</v>
      </c>
      <c r="M63" s="34">
        <v>4</v>
      </c>
      <c r="N63" s="34">
        <f t="shared" ref="N63:N69" si="13">L63*M63</f>
        <v>32</v>
      </c>
      <c r="P63" s="33" t="s">
        <v>831</v>
      </c>
      <c r="Q63" s="34">
        <v>8</v>
      </c>
      <c r="R63" s="34">
        <v>3</v>
      </c>
      <c r="S63" s="34">
        <f t="shared" ref="S63:S69" si="14">Q63*R63</f>
        <v>24</v>
      </c>
    </row>
    <row r="64" spans="1:19" x14ac:dyDescent="0.3">
      <c r="A64" s="33" t="s">
        <v>832</v>
      </c>
      <c r="B64" s="34">
        <v>9</v>
      </c>
      <c r="C64" s="34">
        <v>5</v>
      </c>
      <c r="D64" s="34">
        <f t="shared" si="11"/>
        <v>45</v>
      </c>
      <c r="F64" s="33" t="s">
        <v>832</v>
      </c>
      <c r="G64" s="34">
        <v>9</v>
      </c>
      <c r="H64" s="34">
        <v>5</v>
      </c>
      <c r="I64" s="34">
        <f t="shared" si="12"/>
        <v>45</v>
      </c>
      <c r="K64" s="33" t="s">
        <v>832</v>
      </c>
      <c r="L64" s="34">
        <v>8</v>
      </c>
      <c r="M64" s="34">
        <v>4</v>
      </c>
      <c r="N64" s="34">
        <f t="shared" si="13"/>
        <v>32</v>
      </c>
      <c r="P64" s="33" t="s">
        <v>832</v>
      </c>
      <c r="Q64" s="34">
        <v>8</v>
      </c>
      <c r="R64" s="34">
        <v>3</v>
      </c>
      <c r="S64" s="34">
        <f t="shared" si="14"/>
        <v>24</v>
      </c>
    </row>
    <row r="65" spans="1:24" x14ac:dyDescent="0.3">
      <c r="A65" s="33" t="s">
        <v>833</v>
      </c>
      <c r="B65" s="34">
        <v>9</v>
      </c>
      <c r="C65" s="34">
        <v>5</v>
      </c>
      <c r="D65" s="34">
        <f t="shared" si="11"/>
        <v>45</v>
      </c>
      <c r="F65" s="33" t="s">
        <v>833</v>
      </c>
      <c r="G65" s="34">
        <v>9</v>
      </c>
      <c r="H65" s="34">
        <v>5</v>
      </c>
      <c r="I65" s="34">
        <f t="shared" si="12"/>
        <v>45</v>
      </c>
      <c r="K65" s="33" t="s">
        <v>833</v>
      </c>
      <c r="L65" s="34">
        <v>8</v>
      </c>
      <c r="M65" s="34">
        <v>4</v>
      </c>
      <c r="N65" s="34">
        <f t="shared" si="13"/>
        <v>32</v>
      </c>
      <c r="P65" s="33" t="s">
        <v>833</v>
      </c>
      <c r="Q65" s="34">
        <v>8</v>
      </c>
      <c r="R65" s="34">
        <v>3</v>
      </c>
      <c r="S65" s="34">
        <f t="shared" si="14"/>
        <v>24</v>
      </c>
    </row>
    <row r="66" spans="1:24" x14ac:dyDescent="0.3">
      <c r="A66" s="33" t="s">
        <v>834</v>
      </c>
      <c r="B66" s="34">
        <v>9</v>
      </c>
      <c r="C66" s="34">
        <v>4</v>
      </c>
      <c r="D66" s="34">
        <f t="shared" si="11"/>
        <v>36</v>
      </c>
      <c r="F66" s="33" t="s">
        <v>834</v>
      </c>
      <c r="G66" s="34">
        <v>9</v>
      </c>
      <c r="H66" s="34">
        <v>4</v>
      </c>
      <c r="I66" s="34">
        <f t="shared" si="12"/>
        <v>36</v>
      </c>
      <c r="K66" s="33" t="s">
        <v>834</v>
      </c>
      <c r="L66" s="34">
        <v>8</v>
      </c>
      <c r="M66" s="34">
        <v>4</v>
      </c>
      <c r="N66" s="34">
        <f t="shared" si="13"/>
        <v>32</v>
      </c>
      <c r="P66" s="33" t="s">
        <v>834</v>
      </c>
      <c r="Q66" s="34">
        <v>8</v>
      </c>
      <c r="R66" s="34">
        <v>3</v>
      </c>
      <c r="S66" s="34">
        <f t="shared" si="14"/>
        <v>24</v>
      </c>
    </row>
    <row r="67" spans="1:24" x14ac:dyDescent="0.3">
      <c r="A67" s="33" t="s">
        <v>835</v>
      </c>
      <c r="B67" s="34">
        <v>9</v>
      </c>
      <c r="C67" s="34">
        <v>4</v>
      </c>
      <c r="D67" s="34">
        <f t="shared" si="11"/>
        <v>36</v>
      </c>
      <c r="F67" s="33" t="s">
        <v>835</v>
      </c>
      <c r="G67" s="34">
        <v>9</v>
      </c>
      <c r="H67" s="34">
        <v>5</v>
      </c>
      <c r="I67" s="34">
        <f t="shared" si="12"/>
        <v>45</v>
      </c>
      <c r="K67" s="33" t="s">
        <v>835</v>
      </c>
      <c r="L67" s="34">
        <v>8</v>
      </c>
      <c r="M67" s="34">
        <v>4</v>
      </c>
      <c r="N67" s="34">
        <f t="shared" si="13"/>
        <v>32</v>
      </c>
      <c r="P67" s="33" t="s">
        <v>835</v>
      </c>
      <c r="Q67" s="34">
        <v>8</v>
      </c>
      <c r="R67" s="34">
        <v>3</v>
      </c>
      <c r="S67" s="34">
        <f t="shared" si="14"/>
        <v>24</v>
      </c>
    </row>
    <row r="68" spans="1:24" x14ac:dyDescent="0.3">
      <c r="A68" s="68" t="s">
        <v>849</v>
      </c>
      <c r="B68" s="69"/>
      <c r="C68" s="69"/>
      <c r="D68" s="69">
        <f t="shared" si="11"/>
        <v>0</v>
      </c>
      <c r="E68" s="17"/>
      <c r="F68" s="68"/>
      <c r="G68" s="69"/>
      <c r="H68" s="69"/>
      <c r="I68" s="69">
        <f t="shared" si="12"/>
        <v>0</v>
      </c>
      <c r="K68" s="68"/>
      <c r="L68" s="69"/>
      <c r="M68" s="69"/>
      <c r="N68" s="69">
        <f t="shared" si="13"/>
        <v>0</v>
      </c>
      <c r="P68" s="68"/>
      <c r="Q68" s="69"/>
      <c r="R68" s="69"/>
      <c r="S68" s="69">
        <f t="shared" si="14"/>
        <v>0</v>
      </c>
    </row>
    <row r="69" spans="1:24" x14ac:dyDescent="0.3">
      <c r="A69" s="33"/>
      <c r="B69" s="34"/>
      <c r="C69" s="34"/>
      <c r="D69" s="34">
        <f t="shared" si="11"/>
        <v>0</v>
      </c>
      <c r="F69" s="33"/>
      <c r="G69" s="34"/>
      <c r="H69" s="34"/>
      <c r="I69" s="34">
        <f t="shared" si="12"/>
        <v>0</v>
      </c>
      <c r="K69" s="33"/>
      <c r="L69" s="34"/>
      <c r="M69" s="34"/>
      <c r="N69" s="34">
        <f t="shared" si="13"/>
        <v>0</v>
      </c>
      <c r="P69" s="33"/>
      <c r="Q69" s="34"/>
      <c r="R69" s="34"/>
      <c r="S69" s="34">
        <f t="shared" si="14"/>
        <v>0</v>
      </c>
    </row>
    <row r="70" spans="1:24" x14ac:dyDescent="0.3">
      <c r="A70" s="102" t="s">
        <v>836</v>
      </c>
      <c r="B70" s="102"/>
      <c r="C70" s="102"/>
      <c r="D70" s="34">
        <f>SUM(D63:D69)</f>
        <v>207</v>
      </c>
      <c r="F70" s="102" t="s">
        <v>836</v>
      </c>
      <c r="G70" s="102"/>
      <c r="H70" s="102"/>
      <c r="I70" s="34">
        <f>SUM(I63:I69)</f>
        <v>216</v>
      </c>
      <c r="K70" s="102" t="s">
        <v>836</v>
      </c>
      <c r="L70" s="102"/>
      <c r="M70" s="102"/>
      <c r="N70" s="34">
        <f>SUM(N63:N69)</f>
        <v>160</v>
      </c>
      <c r="P70" s="102" t="s">
        <v>836</v>
      </c>
      <c r="Q70" s="102"/>
      <c r="R70" s="102"/>
      <c r="S70" s="34">
        <f>SUM(S63:S69)</f>
        <v>120</v>
      </c>
    </row>
    <row r="71" spans="1:24" x14ac:dyDescent="0.3">
      <c r="A71" s="102" t="s">
        <v>837</v>
      </c>
      <c r="B71" s="102"/>
      <c r="C71" s="102"/>
      <c r="D71" s="44">
        <v>0.75</v>
      </c>
      <c r="F71" s="102" t="s">
        <v>837</v>
      </c>
      <c r="G71" s="102"/>
      <c r="H71" s="102"/>
      <c r="I71" s="44">
        <v>0.75</v>
      </c>
      <c r="K71" s="102" t="s">
        <v>837</v>
      </c>
      <c r="L71" s="102"/>
      <c r="M71" s="102"/>
      <c r="N71" s="44">
        <v>0.75</v>
      </c>
      <c r="P71" s="102" t="s">
        <v>837</v>
      </c>
      <c r="Q71" s="102"/>
      <c r="R71" s="102"/>
      <c r="S71" s="44">
        <v>0.75</v>
      </c>
    </row>
    <row r="72" spans="1:24" x14ac:dyDescent="0.3">
      <c r="A72" s="102" t="s">
        <v>838</v>
      </c>
      <c r="B72" s="102"/>
      <c r="C72" s="102"/>
      <c r="D72" s="34">
        <f>(D70*D71)</f>
        <v>155.25</v>
      </c>
      <c r="F72" s="102" t="s">
        <v>838</v>
      </c>
      <c r="G72" s="102"/>
      <c r="H72" s="102"/>
      <c r="I72" s="34">
        <f>(I70*I71)</f>
        <v>162</v>
      </c>
      <c r="K72" s="102" t="s">
        <v>838</v>
      </c>
      <c r="L72" s="102"/>
      <c r="M72" s="102"/>
      <c r="N72" s="34">
        <f>(N70*N71)</f>
        <v>120</v>
      </c>
      <c r="P72" s="102" t="s">
        <v>838</v>
      </c>
      <c r="Q72" s="102"/>
      <c r="R72" s="102"/>
      <c r="S72" s="34">
        <f>(S70*S71)</f>
        <v>90</v>
      </c>
    </row>
    <row r="73" spans="1:24" x14ac:dyDescent="0.3">
      <c r="A73" s="102" t="s">
        <v>839</v>
      </c>
      <c r="B73" s="102"/>
      <c r="C73" s="102"/>
      <c r="D73" s="45">
        <f>D72/5</f>
        <v>31.05</v>
      </c>
      <c r="F73" s="102" t="s">
        <v>839</v>
      </c>
      <c r="G73" s="102"/>
      <c r="H73" s="102"/>
      <c r="I73" s="45">
        <f>I72/5</f>
        <v>32.4</v>
      </c>
      <c r="K73" s="102" t="s">
        <v>839</v>
      </c>
      <c r="L73" s="102"/>
      <c r="M73" s="102"/>
      <c r="N73" s="45">
        <f>N72/5</f>
        <v>24</v>
      </c>
      <c r="P73" s="102" t="s">
        <v>839</v>
      </c>
      <c r="Q73" s="102"/>
      <c r="R73" s="102"/>
      <c r="S73" s="45">
        <f>S72/5</f>
        <v>18</v>
      </c>
    </row>
    <row r="74" spans="1:24" x14ac:dyDescent="0.3">
      <c r="B74"/>
      <c r="C74"/>
      <c r="D74"/>
    </row>
    <row r="75" spans="1:24" x14ac:dyDescent="0.3">
      <c r="B75"/>
      <c r="C75"/>
      <c r="D75"/>
    </row>
    <row r="76" spans="1:24" x14ac:dyDescent="0.3">
      <c r="A76" s="67" t="s">
        <v>858</v>
      </c>
      <c r="F76" s="67" t="s">
        <v>859</v>
      </c>
      <c r="G76" s="35"/>
      <c r="H76" s="35"/>
      <c r="I76" s="35"/>
      <c r="K76" s="67" t="s">
        <v>860</v>
      </c>
      <c r="L76" s="35"/>
      <c r="M76" s="35"/>
      <c r="N76" s="35"/>
      <c r="P76" s="67" t="s">
        <v>861</v>
      </c>
      <c r="Q76" s="35"/>
      <c r="R76" s="35"/>
      <c r="S76" s="35"/>
      <c r="U76" s="67" t="s">
        <v>862</v>
      </c>
      <c r="V76" s="35"/>
      <c r="W76" s="35"/>
      <c r="X76" s="35"/>
    </row>
    <row r="77" spans="1:24" x14ac:dyDescent="0.3">
      <c r="A77" s="36" t="s">
        <v>827</v>
      </c>
      <c r="B77" s="37" t="s">
        <v>828</v>
      </c>
      <c r="C77" s="37" t="s">
        <v>829</v>
      </c>
      <c r="D77" s="37" t="s">
        <v>830</v>
      </c>
      <c r="F77" s="36" t="s">
        <v>827</v>
      </c>
      <c r="G77" s="37" t="s">
        <v>828</v>
      </c>
      <c r="H77" s="37" t="s">
        <v>829</v>
      </c>
      <c r="I77" s="37" t="s">
        <v>830</v>
      </c>
      <c r="K77" s="36" t="s">
        <v>827</v>
      </c>
      <c r="L77" s="37" t="s">
        <v>828</v>
      </c>
      <c r="M77" s="37" t="s">
        <v>829</v>
      </c>
      <c r="N77" s="37" t="s">
        <v>830</v>
      </c>
      <c r="P77" s="36" t="s">
        <v>827</v>
      </c>
      <c r="Q77" s="37" t="s">
        <v>828</v>
      </c>
      <c r="R77" s="37" t="s">
        <v>829</v>
      </c>
      <c r="S77" s="37" t="s">
        <v>830</v>
      </c>
      <c r="U77" s="36" t="s">
        <v>827</v>
      </c>
      <c r="V77" s="37" t="s">
        <v>828</v>
      </c>
      <c r="W77" s="37" t="s">
        <v>829</v>
      </c>
      <c r="X77" s="37" t="s">
        <v>830</v>
      </c>
    </row>
    <row r="78" spans="1:24" x14ac:dyDescent="0.3">
      <c r="A78" s="33" t="s">
        <v>831</v>
      </c>
      <c r="B78" s="34">
        <v>7</v>
      </c>
      <c r="C78" s="34">
        <v>5</v>
      </c>
      <c r="D78" s="34">
        <f t="shared" ref="D78:D84" si="15">B78*C78</f>
        <v>35</v>
      </c>
      <c r="F78" s="33" t="s">
        <v>831</v>
      </c>
      <c r="G78" s="34">
        <v>8.1999999999999993</v>
      </c>
      <c r="H78" s="34">
        <v>5</v>
      </c>
      <c r="I78" s="34">
        <f t="shared" ref="I78:I84" si="16">G78*H78</f>
        <v>41</v>
      </c>
      <c r="K78" s="33" t="s">
        <v>831</v>
      </c>
      <c r="L78" s="34">
        <v>9</v>
      </c>
      <c r="M78" s="34">
        <v>5</v>
      </c>
      <c r="N78" s="34">
        <f t="shared" ref="N78:N84" si="17">L78*M78</f>
        <v>45</v>
      </c>
      <c r="P78" s="33" t="s">
        <v>831</v>
      </c>
      <c r="Q78" s="34">
        <v>9</v>
      </c>
      <c r="R78" s="34">
        <v>4.5</v>
      </c>
      <c r="S78" s="34">
        <f t="shared" ref="S78:S84" si="18">Q78*R78</f>
        <v>40.5</v>
      </c>
      <c r="U78" s="33" t="s">
        <v>831</v>
      </c>
      <c r="V78" s="34">
        <v>9</v>
      </c>
      <c r="W78" s="34">
        <v>5</v>
      </c>
      <c r="X78" s="34">
        <f t="shared" ref="X78:X84" si="19">V78*W78</f>
        <v>45</v>
      </c>
    </row>
    <row r="79" spans="1:24" x14ac:dyDescent="0.3">
      <c r="A79" s="33" t="s">
        <v>832</v>
      </c>
      <c r="B79" s="34">
        <v>7</v>
      </c>
      <c r="C79" s="34">
        <v>5</v>
      </c>
      <c r="D79" s="34">
        <f t="shared" si="15"/>
        <v>35</v>
      </c>
      <c r="F79" s="33" t="s">
        <v>832</v>
      </c>
      <c r="G79" s="34">
        <v>8</v>
      </c>
      <c r="H79" s="34">
        <v>4</v>
      </c>
      <c r="I79" s="34">
        <f t="shared" si="16"/>
        <v>32</v>
      </c>
      <c r="K79" s="33" t="s">
        <v>832</v>
      </c>
      <c r="L79" s="34">
        <v>9</v>
      </c>
      <c r="M79" s="34">
        <v>5</v>
      </c>
      <c r="N79" s="34">
        <f t="shared" si="17"/>
        <v>45</v>
      </c>
      <c r="P79" s="33" t="s">
        <v>832</v>
      </c>
      <c r="Q79" s="34">
        <v>9</v>
      </c>
      <c r="R79" s="34">
        <v>5</v>
      </c>
      <c r="S79" s="34">
        <f t="shared" si="18"/>
        <v>45</v>
      </c>
      <c r="U79" s="33" t="s">
        <v>832</v>
      </c>
      <c r="V79" s="34">
        <v>9</v>
      </c>
      <c r="W79" s="34">
        <v>5</v>
      </c>
      <c r="X79" s="34">
        <f t="shared" si="19"/>
        <v>45</v>
      </c>
    </row>
    <row r="80" spans="1:24" x14ac:dyDescent="0.3">
      <c r="A80" s="33" t="s">
        <v>833</v>
      </c>
      <c r="B80" s="34">
        <v>7</v>
      </c>
      <c r="C80" s="34">
        <v>5</v>
      </c>
      <c r="D80" s="34">
        <f t="shared" si="15"/>
        <v>35</v>
      </c>
      <c r="F80" s="33" t="s">
        <v>833</v>
      </c>
      <c r="G80" s="34">
        <v>8.1999999999999993</v>
      </c>
      <c r="H80" s="34">
        <v>5</v>
      </c>
      <c r="I80" s="34">
        <f t="shared" si="16"/>
        <v>41</v>
      </c>
      <c r="K80" s="33" t="s">
        <v>833</v>
      </c>
      <c r="L80" s="34">
        <v>9</v>
      </c>
      <c r="M80" s="34">
        <v>5</v>
      </c>
      <c r="N80" s="34">
        <f t="shared" si="17"/>
        <v>45</v>
      </c>
      <c r="P80" s="33" t="s">
        <v>833</v>
      </c>
      <c r="Q80" s="34">
        <v>9</v>
      </c>
      <c r="R80" s="34">
        <v>5</v>
      </c>
      <c r="S80" s="34">
        <f t="shared" si="18"/>
        <v>45</v>
      </c>
      <c r="U80" s="33" t="s">
        <v>833</v>
      </c>
      <c r="V80" s="34">
        <v>9</v>
      </c>
      <c r="W80" s="34">
        <v>5</v>
      </c>
      <c r="X80" s="34">
        <f t="shared" si="19"/>
        <v>45</v>
      </c>
    </row>
    <row r="81" spans="1:24" x14ac:dyDescent="0.3">
      <c r="A81" s="33" t="s">
        <v>834</v>
      </c>
      <c r="B81" s="34">
        <v>7</v>
      </c>
      <c r="C81" s="34">
        <v>3</v>
      </c>
      <c r="D81" s="34">
        <f t="shared" si="15"/>
        <v>21</v>
      </c>
      <c r="F81" s="33" t="s">
        <v>834</v>
      </c>
      <c r="G81" s="34">
        <v>8.1999999999999993</v>
      </c>
      <c r="H81" s="34">
        <v>4</v>
      </c>
      <c r="I81" s="34">
        <f t="shared" si="16"/>
        <v>32.799999999999997</v>
      </c>
      <c r="K81" s="33" t="s">
        <v>834</v>
      </c>
      <c r="L81" s="34">
        <v>9</v>
      </c>
      <c r="M81" s="34">
        <v>5</v>
      </c>
      <c r="N81" s="34">
        <f t="shared" si="17"/>
        <v>45</v>
      </c>
      <c r="P81" s="33" t="s">
        <v>834</v>
      </c>
      <c r="Q81" s="34">
        <v>9</v>
      </c>
      <c r="R81" s="34">
        <v>4</v>
      </c>
      <c r="S81" s="34">
        <f t="shared" si="18"/>
        <v>36</v>
      </c>
      <c r="U81" s="33" t="s">
        <v>834</v>
      </c>
      <c r="V81" s="34">
        <v>9</v>
      </c>
      <c r="W81" s="34">
        <v>5</v>
      </c>
      <c r="X81" s="34">
        <f t="shared" si="19"/>
        <v>45</v>
      </c>
    </row>
    <row r="82" spans="1:24" x14ac:dyDescent="0.3">
      <c r="A82" s="33" t="s">
        <v>835</v>
      </c>
      <c r="B82" s="34">
        <v>7</v>
      </c>
      <c r="C82" s="34">
        <v>5</v>
      </c>
      <c r="D82" s="34">
        <f t="shared" si="15"/>
        <v>35</v>
      </c>
      <c r="F82" s="33" t="s">
        <v>835</v>
      </c>
      <c r="G82" s="34">
        <v>8.1999999999999993</v>
      </c>
      <c r="H82" s="34">
        <v>5</v>
      </c>
      <c r="I82" s="34">
        <f t="shared" si="16"/>
        <v>41</v>
      </c>
      <c r="K82" s="33" t="s">
        <v>835</v>
      </c>
      <c r="L82" s="34">
        <v>9</v>
      </c>
      <c r="M82" s="34">
        <v>5</v>
      </c>
      <c r="N82" s="34">
        <f t="shared" si="17"/>
        <v>45</v>
      </c>
      <c r="P82" s="33" t="s">
        <v>835</v>
      </c>
      <c r="Q82" s="34">
        <v>9</v>
      </c>
      <c r="R82" s="34">
        <v>5</v>
      </c>
      <c r="S82" s="34">
        <f t="shared" si="18"/>
        <v>45</v>
      </c>
      <c r="U82" s="33" t="s">
        <v>835</v>
      </c>
      <c r="V82" s="34">
        <v>9</v>
      </c>
      <c r="W82" s="34">
        <v>5</v>
      </c>
      <c r="X82" s="34">
        <f t="shared" si="19"/>
        <v>45</v>
      </c>
    </row>
    <row r="83" spans="1:24" x14ac:dyDescent="0.3">
      <c r="A83" s="68"/>
      <c r="B83" s="69"/>
      <c r="C83" s="69"/>
      <c r="D83" s="69">
        <f t="shared" si="15"/>
        <v>0</v>
      </c>
      <c r="E83" s="17"/>
      <c r="F83" s="68"/>
      <c r="G83" s="69"/>
      <c r="H83" s="69"/>
      <c r="I83" s="69">
        <f t="shared" si="16"/>
        <v>0</v>
      </c>
      <c r="K83" s="68"/>
      <c r="L83" s="69"/>
      <c r="M83" s="69"/>
      <c r="N83" s="69">
        <f t="shared" si="17"/>
        <v>0</v>
      </c>
      <c r="P83" s="68"/>
      <c r="Q83" s="69"/>
      <c r="R83" s="69"/>
      <c r="S83" s="69">
        <f t="shared" si="18"/>
        <v>0</v>
      </c>
      <c r="U83" s="68"/>
      <c r="V83" s="69"/>
      <c r="W83" s="69"/>
      <c r="X83" s="69">
        <f t="shared" si="19"/>
        <v>0</v>
      </c>
    </row>
    <row r="84" spans="1:24" x14ac:dyDescent="0.3">
      <c r="A84" s="33"/>
      <c r="B84" s="34"/>
      <c r="C84" s="34"/>
      <c r="D84" s="34">
        <f t="shared" si="15"/>
        <v>0</v>
      </c>
      <c r="F84" s="33"/>
      <c r="G84" s="34"/>
      <c r="H84" s="34"/>
      <c r="I84" s="34">
        <f t="shared" si="16"/>
        <v>0</v>
      </c>
      <c r="K84" s="33"/>
      <c r="L84" s="34"/>
      <c r="M84" s="34"/>
      <c r="N84" s="34">
        <f t="shared" si="17"/>
        <v>0</v>
      </c>
      <c r="P84" s="33"/>
      <c r="Q84" s="34"/>
      <c r="R84" s="34"/>
      <c r="S84" s="34">
        <f t="shared" si="18"/>
        <v>0</v>
      </c>
      <c r="U84" s="33"/>
      <c r="V84" s="34"/>
      <c r="W84" s="34"/>
      <c r="X84" s="34">
        <f t="shared" si="19"/>
        <v>0</v>
      </c>
    </row>
    <row r="85" spans="1:24" x14ac:dyDescent="0.3">
      <c r="A85" s="102" t="s">
        <v>836</v>
      </c>
      <c r="B85" s="102"/>
      <c r="C85" s="102"/>
      <c r="D85" s="34">
        <f>SUM(D78:D84)</f>
        <v>161</v>
      </c>
      <c r="F85" s="102" t="s">
        <v>836</v>
      </c>
      <c r="G85" s="102"/>
      <c r="H85" s="102"/>
      <c r="I85" s="34">
        <f>SUM(I78:I84)</f>
        <v>187.8</v>
      </c>
      <c r="K85" s="102" t="s">
        <v>836</v>
      </c>
      <c r="L85" s="102"/>
      <c r="M85" s="102"/>
      <c r="N85" s="34">
        <f>SUM(N78:N84)</f>
        <v>225</v>
      </c>
      <c r="P85" s="102" t="s">
        <v>836</v>
      </c>
      <c r="Q85" s="102"/>
      <c r="R85" s="102"/>
      <c r="S85" s="34">
        <f>SUM(S78:S84)</f>
        <v>211.5</v>
      </c>
      <c r="U85" s="102" t="s">
        <v>836</v>
      </c>
      <c r="V85" s="102"/>
      <c r="W85" s="102"/>
      <c r="X85" s="34">
        <f>SUM(X78:X84)</f>
        <v>225</v>
      </c>
    </row>
    <row r="86" spans="1:24" x14ac:dyDescent="0.3">
      <c r="A86" s="102" t="s">
        <v>837</v>
      </c>
      <c r="B86" s="102"/>
      <c r="C86" s="102"/>
      <c r="D86" s="44">
        <v>0.75</v>
      </c>
      <c r="F86" s="102" t="s">
        <v>837</v>
      </c>
      <c r="G86" s="102"/>
      <c r="H86" s="102"/>
      <c r="I86" s="44">
        <v>0.75</v>
      </c>
      <c r="K86" s="102" t="s">
        <v>837</v>
      </c>
      <c r="L86" s="102"/>
      <c r="M86" s="102"/>
      <c r="N86" s="44">
        <v>0.75</v>
      </c>
      <c r="P86" s="102" t="s">
        <v>837</v>
      </c>
      <c r="Q86" s="102"/>
      <c r="R86" s="102"/>
      <c r="S86" s="44">
        <v>0.75</v>
      </c>
      <c r="U86" s="102" t="s">
        <v>837</v>
      </c>
      <c r="V86" s="102"/>
      <c r="W86" s="102"/>
      <c r="X86" s="44">
        <v>0.75</v>
      </c>
    </row>
    <row r="87" spans="1:24" x14ac:dyDescent="0.3">
      <c r="A87" s="102" t="s">
        <v>838</v>
      </c>
      <c r="B87" s="102"/>
      <c r="C87" s="102"/>
      <c r="D87" s="34">
        <f>(D85*D86)</f>
        <v>120.75</v>
      </c>
      <c r="F87" s="102" t="s">
        <v>838</v>
      </c>
      <c r="G87" s="102"/>
      <c r="H87" s="102"/>
      <c r="I87" s="34">
        <f>(I85*I86)</f>
        <v>140.85000000000002</v>
      </c>
      <c r="K87" s="102" t="s">
        <v>838</v>
      </c>
      <c r="L87" s="102"/>
      <c r="M87" s="102"/>
      <c r="N87" s="34">
        <f>(N85*N86)</f>
        <v>168.75</v>
      </c>
      <c r="P87" s="102" t="s">
        <v>838</v>
      </c>
      <c r="Q87" s="102"/>
      <c r="R87" s="102"/>
      <c r="S87" s="34">
        <f>(S85*S86)</f>
        <v>158.625</v>
      </c>
      <c r="U87" s="102" t="s">
        <v>838</v>
      </c>
      <c r="V87" s="102"/>
      <c r="W87" s="102"/>
      <c r="X87" s="34">
        <f>(X85*X86)</f>
        <v>168.75</v>
      </c>
    </row>
    <row r="88" spans="1:24" x14ac:dyDescent="0.3">
      <c r="A88" s="102" t="s">
        <v>839</v>
      </c>
      <c r="B88" s="102"/>
      <c r="C88" s="102"/>
      <c r="D88" s="45">
        <f>D87/5</f>
        <v>24.15</v>
      </c>
      <c r="F88" s="102" t="s">
        <v>839</v>
      </c>
      <c r="G88" s="102"/>
      <c r="H88" s="102"/>
      <c r="I88" s="45">
        <f>I87/5</f>
        <v>28.170000000000005</v>
      </c>
      <c r="K88" s="102" t="s">
        <v>839</v>
      </c>
      <c r="L88" s="102"/>
      <c r="M88" s="102"/>
      <c r="N88" s="45">
        <f>N87/5</f>
        <v>33.75</v>
      </c>
      <c r="P88" s="102" t="s">
        <v>839</v>
      </c>
      <c r="Q88" s="102"/>
      <c r="R88" s="102"/>
      <c r="S88" s="84">
        <f>S87/5</f>
        <v>31.725000000000001</v>
      </c>
      <c r="U88" s="102" t="s">
        <v>839</v>
      </c>
      <c r="V88" s="102"/>
      <c r="W88" s="102"/>
      <c r="X88" s="45">
        <f>X87/5</f>
        <v>33.75</v>
      </c>
    </row>
    <row r="89" spans="1:24" x14ac:dyDescent="0.3">
      <c r="B89"/>
      <c r="C89"/>
      <c r="D89"/>
    </row>
    <row r="90" spans="1:24" x14ac:dyDescent="0.3">
      <c r="B90"/>
      <c r="C90"/>
      <c r="D90"/>
    </row>
    <row r="91" spans="1:24" x14ac:dyDescent="0.3">
      <c r="A91" s="67" t="s">
        <v>863</v>
      </c>
      <c r="F91" s="67" t="s">
        <v>864</v>
      </c>
      <c r="G91" s="35"/>
      <c r="H91" s="35"/>
      <c r="I91" s="35"/>
      <c r="K91" s="67" t="s">
        <v>865</v>
      </c>
      <c r="L91" s="35"/>
      <c r="M91" s="35"/>
      <c r="N91" s="35"/>
      <c r="P91" s="67" t="s">
        <v>866</v>
      </c>
      <c r="Q91" s="35"/>
      <c r="R91" s="35"/>
      <c r="S91" s="35"/>
    </row>
    <row r="92" spans="1:24" x14ac:dyDescent="0.3">
      <c r="A92" s="36" t="s">
        <v>827</v>
      </c>
      <c r="B92" s="37" t="s">
        <v>828</v>
      </c>
      <c r="C92" s="37" t="s">
        <v>829</v>
      </c>
      <c r="D92" s="37" t="s">
        <v>830</v>
      </c>
      <c r="F92" s="36" t="s">
        <v>827</v>
      </c>
      <c r="G92" s="37" t="s">
        <v>828</v>
      </c>
      <c r="H92" s="37" t="s">
        <v>829</v>
      </c>
      <c r="I92" s="37" t="s">
        <v>830</v>
      </c>
      <c r="K92" s="36" t="s">
        <v>827</v>
      </c>
      <c r="L92" s="37" t="s">
        <v>828</v>
      </c>
      <c r="M92" s="37" t="s">
        <v>829</v>
      </c>
      <c r="N92" s="37" t="s">
        <v>830</v>
      </c>
      <c r="P92" s="36" t="s">
        <v>827</v>
      </c>
      <c r="Q92" s="37" t="s">
        <v>828</v>
      </c>
      <c r="R92" s="37" t="s">
        <v>829</v>
      </c>
      <c r="S92" s="37" t="s">
        <v>830</v>
      </c>
    </row>
    <row r="93" spans="1:24" x14ac:dyDescent="0.3">
      <c r="A93" s="33" t="s">
        <v>831</v>
      </c>
      <c r="B93" s="34">
        <v>9</v>
      </c>
      <c r="C93" s="34">
        <v>4</v>
      </c>
      <c r="D93" s="34">
        <f t="shared" ref="D93:D99" si="20">B93*C93</f>
        <v>36</v>
      </c>
      <c r="F93" s="33" t="s">
        <v>831</v>
      </c>
      <c r="G93" s="34">
        <v>9</v>
      </c>
      <c r="H93" s="34">
        <v>5</v>
      </c>
      <c r="I93" s="34">
        <f t="shared" ref="I93:I99" si="21">G93*H93</f>
        <v>45</v>
      </c>
      <c r="K93" s="33" t="s">
        <v>831</v>
      </c>
      <c r="L93" s="34">
        <v>9</v>
      </c>
      <c r="M93" s="34">
        <v>4</v>
      </c>
      <c r="N93" s="34">
        <f t="shared" ref="N93:N99" si="22">L93*M93</f>
        <v>36</v>
      </c>
      <c r="P93" s="33" t="s">
        <v>831</v>
      </c>
      <c r="Q93" s="34">
        <v>9</v>
      </c>
      <c r="R93" s="34">
        <v>5</v>
      </c>
      <c r="S93" s="34">
        <f t="shared" ref="S93:S99" si="23">Q93*R93</f>
        <v>45</v>
      </c>
    </row>
    <row r="94" spans="1:24" x14ac:dyDescent="0.3">
      <c r="A94" s="33" t="s">
        <v>832</v>
      </c>
      <c r="B94" s="34">
        <v>9</v>
      </c>
      <c r="C94" s="34">
        <v>4</v>
      </c>
      <c r="D94" s="34">
        <f t="shared" si="20"/>
        <v>36</v>
      </c>
      <c r="F94" s="33" t="s">
        <v>832</v>
      </c>
      <c r="G94" s="34">
        <v>9</v>
      </c>
      <c r="H94" s="34">
        <v>5</v>
      </c>
      <c r="I94" s="34">
        <f t="shared" si="21"/>
        <v>45</v>
      </c>
      <c r="K94" s="33" t="s">
        <v>832</v>
      </c>
      <c r="L94" s="34">
        <v>9</v>
      </c>
      <c r="M94" s="34">
        <v>4</v>
      </c>
      <c r="N94" s="34">
        <f t="shared" si="22"/>
        <v>36</v>
      </c>
      <c r="P94" s="33" t="s">
        <v>832</v>
      </c>
      <c r="Q94" s="34">
        <v>9</v>
      </c>
      <c r="R94" s="34">
        <v>5</v>
      </c>
      <c r="S94" s="34">
        <f t="shared" si="23"/>
        <v>45</v>
      </c>
    </row>
    <row r="95" spans="1:24" x14ac:dyDescent="0.3">
      <c r="A95" s="33" t="s">
        <v>833</v>
      </c>
      <c r="B95" s="34">
        <v>9</v>
      </c>
      <c r="C95" s="34">
        <v>4</v>
      </c>
      <c r="D95" s="34">
        <f t="shared" si="20"/>
        <v>36</v>
      </c>
      <c r="F95" s="33" t="s">
        <v>833</v>
      </c>
      <c r="G95" s="34">
        <v>9</v>
      </c>
      <c r="H95" s="34">
        <v>5</v>
      </c>
      <c r="I95" s="34">
        <f t="shared" si="21"/>
        <v>45</v>
      </c>
      <c r="K95" s="33" t="s">
        <v>833</v>
      </c>
      <c r="L95" s="34">
        <v>9</v>
      </c>
      <c r="M95" s="34">
        <v>4</v>
      </c>
      <c r="N95" s="34">
        <f t="shared" si="22"/>
        <v>36</v>
      </c>
      <c r="P95" s="33" t="s">
        <v>833</v>
      </c>
      <c r="Q95" s="34">
        <v>9</v>
      </c>
      <c r="R95" s="34">
        <v>5</v>
      </c>
      <c r="S95" s="34">
        <f t="shared" si="23"/>
        <v>45</v>
      </c>
    </row>
    <row r="96" spans="1:24" x14ac:dyDescent="0.3">
      <c r="A96" s="33" t="s">
        <v>834</v>
      </c>
      <c r="B96" s="34">
        <v>9</v>
      </c>
      <c r="C96" s="34">
        <v>4</v>
      </c>
      <c r="D96" s="34">
        <f t="shared" si="20"/>
        <v>36</v>
      </c>
      <c r="F96" s="33" t="s">
        <v>834</v>
      </c>
      <c r="G96" s="34">
        <v>9</v>
      </c>
      <c r="H96" s="34">
        <v>4</v>
      </c>
      <c r="I96" s="34">
        <f t="shared" si="21"/>
        <v>36</v>
      </c>
      <c r="K96" s="33" t="s">
        <v>834</v>
      </c>
      <c r="L96" s="34">
        <v>9</v>
      </c>
      <c r="M96" s="34">
        <v>4</v>
      </c>
      <c r="N96" s="34">
        <f t="shared" si="22"/>
        <v>36</v>
      </c>
      <c r="P96" s="33" t="s">
        <v>834</v>
      </c>
      <c r="Q96" s="34">
        <v>9</v>
      </c>
      <c r="R96" s="34">
        <v>4</v>
      </c>
      <c r="S96" s="34">
        <f t="shared" si="23"/>
        <v>36</v>
      </c>
    </row>
    <row r="97" spans="1:24" x14ac:dyDescent="0.3">
      <c r="A97" s="33" t="s">
        <v>835</v>
      </c>
      <c r="B97" s="34">
        <v>9</v>
      </c>
      <c r="C97" s="34">
        <v>4</v>
      </c>
      <c r="D97" s="34">
        <f t="shared" si="20"/>
        <v>36</v>
      </c>
      <c r="F97" s="33" t="s">
        <v>835</v>
      </c>
      <c r="G97" s="34">
        <v>9</v>
      </c>
      <c r="H97" s="34">
        <v>5</v>
      </c>
      <c r="I97" s="34">
        <f t="shared" si="21"/>
        <v>45</v>
      </c>
      <c r="K97" s="33" t="s">
        <v>835</v>
      </c>
      <c r="L97" s="34">
        <v>9</v>
      </c>
      <c r="M97" s="34">
        <v>4</v>
      </c>
      <c r="N97" s="34">
        <f t="shared" si="22"/>
        <v>36</v>
      </c>
      <c r="P97" s="33" t="s">
        <v>835</v>
      </c>
      <c r="Q97" s="34">
        <v>9</v>
      </c>
      <c r="R97" s="34">
        <v>5</v>
      </c>
      <c r="S97" s="34">
        <f t="shared" si="23"/>
        <v>45</v>
      </c>
    </row>
    <row r="98" spans="1:24" x14ac:dyDescent="0.3">
      <c r="A98" s="68" t="s">
        <v>849</v>
      </c>
      <c r="B98" s="69"/>
      <c r="C98" s="69"/>
      <c r="D98" s="69">
        <f t="shared" si="20"/>
        <v>0</v>
      </c>
      <c r="E98" s="17"/>
      <c r="F98" s="68"/>
      <c r="G98" s="69"/>
      <c r="H98" s="69"/>
      <c r="I98" s="69">
        <f t="shared" si="21"/>
        <v>0</v>
      </c>
      <c r="K98" s="68"/>
      <c r="L98" s="69"/>
      <c r="M98" s="69"/>
      <c r="N98" s="69">
        <f t="shared" si="22"/>
        <v>0</v>
      </c>
      <c r="P98" s="68"/>
      <c r="Q98" s="69"/>
      <c r="R98" s="69"/>
      <c r="S98" s="69">
        <f t="shared" si="23"/>
        <v>0</v>
      </c>
    </row>
    <row r="99" spans="1:24" x14ac:dyDescent="0.3">
      <c r="A99" s="33"/>
      <c r="B99" s="34"/>
      <c r="C99" s="34"/>
      <c r="D99" s="34">
        <f t="shared" si="20"/>
        <v>0</v>
      </c>
      <c r="F99" s="33"/>
      <c r="G99" s="34"/>
      <c r="H99" s="34"/>
      <c r="I99" s="34">
        <f t="shared" si="21"/>
        <v>0</v>
      </c>
      <c r="K99" s="33"/>
      <c r="L99" s="34"/>
      <c r="M99" s="34"/>
      <c r="N99" s="34">
        <f t="shared" si="22"/>
        <v>0</v>
      </c>
      <c r="P99" s="33"/>
      <c r="Q99" s="34"/>
      <c r="R99" s="34"/>
      <c r="S99" s="34">
        <f t="shared" si="23"/>
        <v>0</v>
      </c>
    </row>
    <row r="100" spans="1:24" x14ac:dyDescent="0.3">
      <c r="A100" s="102" t="s">
        <v>836</v>
      </c>
      <c r="B100" s="102"/>
      <c r="C100" s="102"/>
      <c r="D100" s="34">
        <f>SUM(D93:D99)</f>
        <v>180</v>
      </c>
      <c r="F100" s="102" t="s">
        <v>836</v>
      </c>
      <c r="G100" s="102"/>
      <c r="H100" s="102"/>
      <c r="I100" s="34">
        <f>SUM(I93:I99)</f>
        <v>216</v>
      </c>
      <c r="K100" s="102" t="s">
        <v>836</v>
      </c>
      <c r="L100" s="102"/>
      <c r="M100" s="102"/>
      <c r="N100" s="34">
        <f>SUM(N93:N99)</f>
        <v>180</v>
      </c>
      <c r="P100" s="102" t="s">
        <v>836</v>
      </c>
      <c r="Q100" s="102"/>
      <c r="R100" s="102"/>
      <c r="S100" s="34">
        <f>SUM(S93:S99)</f>
        <v>216</v>
      </c>
    </row>
    <row r="101" spans="1:24" x14ac:dyDescent="0.3">
      <c r="A101" s="102" t="s">
        <v>837</v>
      </c>
      <c r="B101" s="102"/>
      <c r="C101" s="102"/>
      <c r="D101" s="44">
        <v>0.75</v>
      </c>
      <c r="F101" s="102" t="s">
        <v>837</v>
      </c>
      <c r="G101" s="102"/>
      <c r="H101" s="102"/>
      <c r="I101" s="44">
        <v>0.75</v>
      </c>
      <c r="K101" s="102" t="s">
        <v>837</v>
      </c>
      <c r="L101" s="102"/>
      <c r="M101" s="102"/>
      <c r="N101" s="44">
        <v>0.75</v>
      </c>
      <c r="P101" s="102" t="s">
        <v>837</v>
      </c>
      <c r="Q101" s="102"/>
      <c r="R101" s="102"/>
      <c r="S101" s="44">
        <v>0.75</v>
      </c>
    </row>
    <row r="102" spans="1:24" x14ac:dyDescent="0.3">
      <c r="A102" s="102" t="s">
        <v>838</v>
      </c>
      <c r="B102" s="102"/>
      <c r="C102" s="102"/>
      <c r="D102" s="34">
        <f>(D100*D101)</f>
        <v>135</v>
      </c>
      <c r="F102" s="102" t="s">
        <v>838</v>
      </c>
      <c r="G102" s="102"/>
      <c r="H102" s="102"/>
      <c r="I102" s="34">
        <f>(I100*I101)</f>
        <v>162</v>
      </c>
      <c r="K102" s="102" t="s">
        <v>838</v>
      </c>
      <c r="L102" s="102"/>
      <c r="M102" s="102"/>
      <c r="N102" s="34">
        <f>(N100*N101)</f>
        <v>135</v>
      </c>
      <c r="P102" s="102" t="s">
        <v>838</v>
      </c>
      <c r="Q102" s="102"/>
      <c r="R102" s="102"/>
      <c r="S102" s="34">
        <f>(S100*S101)</f>
        <v>162</v>
      </c>
    </row>
    <row r="103" spans="1:24" x14ac:dyDescent="0.3">
      <c r="A103" s="102" t="s">
        <v>839</v>
      </c>
      <c r="B103" s="102"/>
      <c r="C103" s="102"/>
      <c r="D103" s="45">
        <f>D102/4</f>
        <v>33.75</v>
      </c>
      <c r="F103" s="102" t="s">
        <v>839</v>
      </c>
      <c r="G103" s="102"/>
      <c r="H103" s="102"/>
      <c r="I103" s="45">
        <f>I102/5</f>
        <v>32.4</v>
      </c>
      <c r="K103" s="102" t="s">
        <v>839</v>
      </c>
      <c r="L103" s="102"/>
      <c r="M103" s="102"/>
      <c r="N103" s="45">
        <f>N102/4</f>
        <v>33.75</v>
      </c>
      <c r="P103" s="102" t="s">
        <v>839</v>
      </c>
      <c r="Q103" s="102"/>
      <c r="R103" s="102"/>
      <c r="S103" s="45">
        <f>S102/5</f>
        <v>32.4</v>
      </c>
    </row>
    <row r="104" spans="1:24" x14ac:dyDescent="0.3">
      <c r="B104"/>
      <c r="C104"/>
      <c r="D104"/>
    </row>
    <row r="105" spans="1:24" x14ac:dyDescent="0.3">
      <c r="B105"/>
      <c r="C105"/>
      <c r="D105"/>
    </row>
    <row r="106" spans="1:24" x14ac:dyDescent="0.3">
      <c r="A106" s="67" t="s">
        <v>867</v>
      </c>
      <c r="F106" s="67" t="s">
        <v>868</v>
      </c>
      <c r="G106" s="35"/>
      <c r="H106" s="35"/>
      <c r="I106" s="35"/>
      <c r="K106" s="67" t="s">
        <v>869</v>
      </c>
      <c r="L106" s="35"/>
      <c r="M106" s="35"/>
      <c r="N106" s="35"/>
      <c r="P106" s="67" t="s">
        <v>870</v>
      </c>
      <c r="Q106" s="35"/>
      <c r="R106" s="35"/>
      <c r="S106" s="35"/>
      <c r="U106" s="67" t="s">
        <v>871</v>
      </c>
      <c r="V106" s="35"/>
      <c r="W106" s="35"/>
      <c r="X106" s="35"/>
    </row>
    <row r="107" spans="1:24" x14ac:dyDescent="0.3">
      <c r="A107" s="36" t="s">
        <v>827</v>
      </c>
      <c r="B107" s="37" t="s">
        <v>828</v>
      </c>
      <c r="C107" s="37" t="s">
        <v>829</v>
      </c>
      <c r="D107" s="37" t="s">
        <v>830</v>
      </c>
      <c r="F107" s="36" t="s">
        <v>827</v>
      </c>
      <c r="G107" s="37" t="s">
        <v>828</v>
      </c>
      <c r="H107" s="37" t="s">
        <v>829</v>
      </c>
      <c r="I107" s="37" t="s">
        <v>830</v>
      </c>
      <c r="K107" s="36" t="s">
        <v>827</v>
      </c>
      <c r="L107" s="37" t="s">
        <v>828</v>
      </c>
      <c r="M107" s="37" t="s">
        <v>829</v>
      </c>
      <c r="N107" s="37" t="s">
        <v>830</v>
      </c>
      <c r="P107" s="36" t="s">
        <v>827</v>
      </c>
      <c r="Q107" s="37" t="s">
        <v>828</v>
      </c>
      <c r="R107" s="37" t="s">
        <v>829</v>
      </c>
      <c r="S107" s="37" t="s">
        <v>830</v>
      </c>
      <c r="U107" s="36" t="s">
        <v>827</v>
      </c>
      <c r="V107" s="37" t="s">
        <v>828</v>
      </c>
      <c r="W107" s="37" t="s">
        <v>829</v>
      </c>
      <c r="X107" s="37" t="s">
        <v>830</v>
      </c>
    </row>
    <row r="108" spans="1:24" ht="12" customHeight="1" x14ac:dyDescent="0.3">
      <c r="A108" s="33" t="s">
        <v>831</v>
      </c>
      <c r="B108" s="34">
        <v>9</v>
      </c>
      <c r="C108" s="34">
        <v>5</v>
      </c>
      <c r="D108" s="34">
        <f t="shared" ref="D108:D114" si="24">B108*C108</f>
        <v>45</v>
      </c>
      <c r="F108" s="33" t="s">
        <v>831</v>
      </c>
      <c r="G108" s="34">
        <v>9</v>
      </c>
      <c r="H108" s="34">
        <v>5</v>
      </c>
      <c r="I108" s="34">
        <f t="shared" ref="I108:I114" si="25">G108*H108</f>
        <v>45</v>
      </c>
      <c r="K108" s="33" t="s">
        <v>831</v>
      </c>
      <c r="L108" s="34">
        <v>9</v>
      </c>
      <c r="M108" s="34">
        <v>5</v>
      </c>
      <c r="N108" s="34">
        <f t="shared" ref="N108:N114" si="26">L108*M108</f>
        <v>45</v>
      </c>
      <c r="P108" s="33" t="s">
        <v>831</v>
      </c>
      <c r="Q108" s="34">
        <v>9</v>
      </c>
      <c r="R108" s="34">
        <v>5</v>
      </c>
      <c r="S108" s="34">
        <f t="shared" ref="S108:S114" si="27">Q108*R108</f>
        <v>45</v>
      </c>
      <c r="U108" s="33" t="s">
        <v>831</v>
      </c>
      <c r="V108" s="34">
        <v>9</v>
      </c>
      <c r="W108" s="34">
        <v>5</v>
      </c>
      <c r="X108" s="34">
        <f t="shared" ref="X108:X114" si="28">V108*W108</f>
        <v>45</v>
      </c>
    </row>
    <row r="109" spans="1:24" x14ac:dyDescent="0.3">
      <c r="A109" s="33" t="s">
        <v>832</v>
      </c>
      <c r="B109" s="34">
        <v>9</v>
      </c>
      <c r="C109" s="34">
        <v>5</v>
      </c>
      <c r="D109" s="34">
        <f t="shared" si="24"/>
        <v>45</v>
      </c>
      <c r="F109" s="33" t="s">
        <v>832</v>
      </c>
      <c r="G109" s="34">
        <v>9</v>
      </c>
      <c r="H109" s="34">
        <v>5</v>
      </c>
      <c r="I109" s="34">
        <f t="shared" si="25"/>
        <v>45</v>
      </c>
      <c r="K109" s="33" t="s">
        <v>832</v>
      </c>
      <c r="L109" s="34">
        <v>9</v>
      </c>
      <c r="M109" s="34">
        <v>5</v>
      </c>
      <c r="N109" s="34">
        <f t="shared" si="26"/>
        <v>45</v>
      </c>
      <c r="P109" s="33" t="s">
        <v>832</v>
      </c>
      <c r="Q109" s="34">
        <v>9</v>
      </c>
      <c r="R109" s="34">
        <v>5</v>
      </c>
      <c r="S109" s="34">
        <f t="shared" si="27"/>
        <v>45</v>
      </c>
      <c r="U109" s="33" t="s">
        <v>832</v>
      </c>
      <c r="V109" s="34">
        <v>9</v>
      </c>
      <c r="W109" s="34">
        <v>5</v>
      </c>
      <c r="X109" s="34">
        <f t="shared" si="28"/>
        <v>45</v>
      </c>
    </row>
    <row r="110" spans="1:24" x14ac:dyDescent="0.3">
      <c r="A110" s="33" t="s">
        <v>833</v>
      </c>
      <c r="B110" s="34">
        <v>9</v>
      </c>
      <c r="C110" s="34">
        <v>5</v>
      </c>
      <c r="D110" s="34">
        <f t="shared" si="24"/>
        <v>45</v>
      </c>
      <c r="F110" s="33" t="s">
        <v>833</v>
      </c>
      <c r="G110" s="34">
        <v>9</v>
      </c>
      <c r="H110" s="34">
        <v>5</v>
      </c>
      <c r="I110" s="34">
        <f t="shared" si="25"/>
        <v>45</v>
      </c>
      <c r="K110" s="33" t="s">
        <v>833</v>
      </c>
      <c r="L110" s="34">
        <v>9</v>
      </c>
      <c r="M110" s="34">
        <v>5</v>
      </c>
      <c r="N110" s="34">
        <f t="shared" si="26"/>
        <v>45</v>
      </c>
      <c r="P110" s="33" t="s">
        <v>833</v>
      </c>
      <c r="Q110" s="34">
        <v>9</v>
      </c>
      <c r="R110" s="34">
        <v>5</v>
      </c>
      <c r="S110" s="34">
        <f t="shared" si="27"/>
        <v>45</v>
      </c>
      <c r="U110" s="33" t="s">
        <v>833</v>
      </c>
      <c r="V110" s="34">
        <v>9</v>
      </c>
      <c r="W110" s="34">
        <v>5</v>
      </c>
      <c r="X110" s="34">
        <f t="shared" si="28"/>
        <v>45</v>
      </c>
    </row>
    <row r="111" spans="1:24" x14ac:dyDescent="0.3">
      <c r="A111" s="33" t="s">
        <v>834</v>
      </c>
      <c r="B111" s="34">
        <v>9</v>
      </c>
      <c r="C111" s="34">
        <v>4</v>
      </c>
      <c r="D111" s="34">
        <f t="shared" si="24"/>
        <v>36</v>
      </c>
      <c r="F111" s="33" t="s">
        <v>834</v>
      </c>
      <c r="G111" s="34">
        <v>9</v>
      </c>
      <c r="H111" s="34">
        <v>4</v>
      </c>
      <c r="I111" s="34">
        <f t="shared" si="25"/>
        <v>36</v>
      </c>
      <c r="K111" s="33" t="s">
        <v>834</v>
      </c>
      <c r="L111" s="34">
        <v>9</v>
      </c>
      <c r="M111" s="34">
        <v>4</v>
      </c>
      <c r="N111" s="34">
        <f t="shared" si="26"/>
        <v>36</v>
      </c>
      <c r="P111" s="33" t="s">
        <v>834</v>
      </c>
      <c r="Q111" s="34">
        <v>9</v>
      </c>
      <c r="R111" s="34">
        <v>4</v>
      </c>
      <c r="S111" s="34">
        <f t="shared" si="27"/>
        <v>36</v>
      </c>
      <c r="U111" s="33" t="s">
        <v>834</v>
      </c>
      <c r="V111" s="34">
        <v>9</v>
      </c>
      <c r="W111" s="34">
        <v>4</v>
      </c>
      <c r="X111" s="34">
        <f t="shared" si="28"/>
        <v>36</v>
      </c>
    </row>
    <row r="112" spans="1:24" x14ac:dyDescent="0.3">
      <c r="A112" s="33" t="s">
        <v>835</v>
      </c>
      <c r="B112" s="34">
        <v>9</v>
      </c>
      <c r="C112" s="34">
        <v>5</v>
      </c>
      <c r="D112" s="34">
        <f t="shared" si="24"/>
        <v>45</v>
      </c>
      <c r="F112" s="33" t="s">
        <v>835</v>
      </c>
      <c r="G112" s="34">
        <v>9</v>
      </c>
      <c r="H112" s="34">
        <v>5</v>
      </c>
      <c r="I112" s="34">
        <f t="shared" si="25"/>
        <v>45</v>
      </c>
      <c r="K112" s="33" t="s">
        <v>835</v>
      </c>
      <c r="L112" s="34">
        <v>9</v>
      </c>
      <c r="M112" s="34">
        <v>5</v>
      </c>
      <c r="N112" s="34">
        <f t="shared" si="26"/>
        <v>45</v>
      </c>
      <c r="P112" s="33" t="s">
        <v>835</v>
      </c>
      <c r="Q112" s="34">
        <v>9</v>
      </c>
      <c r="R112" s="34">
        <v>5</v>
      </c>
      <c r="S112" s="34">
        <f t="shared" si="27"/>
        <v>45</v>
      </c>
      <c r="U112" s="33" t="s">
        <v>835</v>
      </c>
      <c r="V112" s="34">
        <v>9</v>
      </c>
      <c r="W112" s="34">
        <v>5</v>
      </c>
      <c r="X112" s="34">
        <f t="shared" si="28"/>
        <v>45</v>
      </c>
    </row>
    <row r="113" spans="1:24" x14ac:dyDescent="0.3">
      <c r="A113" s="68" t="s">
        <v>843</v>
      </c>
      <c r="B113" s="69">
        <v>8</v>
      </c>
      <c r="C113" s="69">
        <v>4</v>
      </c>
      <c r="D113" s="69">
        <f t="shared" si="24"/>
        <v>32</v>
      </c>
      <c r="E113" s="17"/>
      <c r="F113" s="68" t="s">
        <v>872</v>
      </c>
      <c r="G113" s="69">
        <v>8</v>
      </c>
      <c r="H113" s="69">
        <v>4</v>
      </c>
      <c r="I113" s="69">
        <f t="shared" si="25"/>
        <v>32</v>
      </c>
      <c r="K113" s="68"/>
      <c r="L113" s="69"/>
      <c r="M113" s="69"/>
      <c r="N113" s="69">
        <f t="shared" si="26"/>
        <v>0</v>
      </c>
      <c r="P113" s="68"/>
      <c r="Q113" s="69"/>
      <c r="R113" s="69"/>
      <c r="S113" s="69">
        <f t="shared" si="27"/>
        <v>0</v>
      </c>
      <c r="U113" s="68"/>
      <c r="V113" s="69"/>
      <c r="W113" s="69"/>
      <c r="X113" s="69">
        <f t="shared" si="28"/>
        <v>0</v>
      </c>
    </row>
    <row r="114" spans="1:24" x14ac:dyDescent="0.3">
      <c r="A114" s="33"/>
      <c r="B114" s="34"/>
      <c r="C114" s="34"/>
      <c r="D114" s="34">
        <f t="shared" si="24"/>
        <v>0</v>
      </c>
      <c r="F114" s="33"/>
      <c r="G114" s="34"/>
      <c r="H114" s="34"/>
      <c r="I114" s="34">
        <f t="shared" si="25"/>
        <v>0</v>
      </c>
      <c r="K114" s="33"/>
      <c r="L114" s="34"/>
      <c r="M114" s="34"/>
      <c r="N114" s="34">
        <f t="shared" si="26"/>
        <v>0</v>
      </c>
      <c r="P114" s="33"/>
      <c r="Q114" s="34"/>
      <c r="R114" s="34"/>
      <c r="S114" s="34">
        <f t="shared" si="27"/>
        <v>0</v>
      </c>
      <c r="U114" s="33"/>
      <c r="V114" s="34"/>
      <c r="W114" s="34"/>
      <c r="X114" s="34">
        <f t="shared" si="28"/>
        <v>0</v>
      </c>
    </row>
    <row r="115" spans="1:24" x14ac:dyDescent="0.3">
      <c r="A115" s="102" t="s">
        <v>836</v>
      </c>
      <c r="B115" s="102"/>
      <c r="C115" s="102"/>
      <c r="D115" s="34">
        <f>SUM(D108:D114)</f>
        <v>248</v>
      </c>
      <c r="F115" s="102" t="s">
        <v>836</v>
      </c>
      <c r="G115" s="102"/>
      <c r="H115" s="102"/>
      <c r="I115" s="34">
        <f>SUM(I108:I114)</f>
        <v>248</v>
      </c>
      <c r="K115" s="102" t="s">
        <v>836</v>
      </c>
      <c r="L115" s="102"/>
      <c r="M115" s="102"/>
      <c r="N115" s="34">
        <f>SUM(N108:N114)</f>
        <v>216</v>
      </c>
      <c r="P115" s="102" t="s">
        <v>836</v>
      </c>
      <c r="Q115" s="102"/>
      <c r="R115" s="102"/>
      <c r="S115" s="34">
        <f>SUM(S108:S114)</f>
        <v>216</v>
      </c>
      <c r="U115" s="102" t="s">
        <v>836</v>
      </c>
      <c r="V115" s="102"/>
      <c r="W115" s="102"/>
      <c r="X115" s="34">
        <f>SUM(X108:X114)</f>
        <v>216</v>
      </c>
    </row>
    <row r="116" spans="1:24" x14ac:dyDescent="0.3">
      <c r="A116" s="102" t="s">
        <v>837</v>
      </c>
      <c r="B116" s="102"/>
      <c r="C116" s="102"/>
      <c r="D116" s="44">
        <v>0.75</v>
      </c>
      <c r="F116" s="102" t="s">
        <v>837</v>
      </c>
      <c r="G116" s="102"/>
      <c r="H116" s="102"/>
      <c r="I116" s="44">
        <v>0.75</v>
      </c>
      <c r="K116" s="102" t="s">
        <v>837</v>
      </c>
      <c r="L116" s="102"/>
      <c r="M116" s="102"/>
      <c r="N116" s="44">
        <v>0.75</v>
      </c>
      <c r="P116" s="102" t="s">
        <v>837</v>
      </c>
      <c r="Q116" s="102"/>
      <c r="R116" s="102"/>
      <c r="S116" s="44">
        <v>0.75</v>
      </c>
      <c r="U116" s="102" t="s">
        <v>837</v>
      </c>
      <c r="V116" s="102"/>
      <c r="W116" s="102"/>
      <c r="X116" s="44">
        <v>0.75</v>
      </c>
    </row>
    <row r="117" spans="1:24" x14ac:dyDescent="0.3">
      <c r="A117" s="102" t="s">
        <v>838</v>
      </c>
      <c r="B117" s="102"/>
      <c r="C117" s="102"/>
      <c r="D117" s="34">
        <f>(D115*D116)</f>
        <v>186</v>
      </c>
      <c r="F117" s="102" t="s">
        <v>838</v>
      </c>
      <c r="G117" s="102"/>
      <c r="H117" s="102"/>
      <c r="I117" s="34">
        <f>(I115*I116)</f>
        <v>186</v>
      </c>
      <c r="K117" s="102" t="s">
        <v>838</v>
      </c>
      <c r="L117" s="102"/>
      <c r="M117" s="102"/>
      <c r="N117" s="34">
        <f>(N115*N116)</f>
        <v>162</v>
      </c>
      <c r="P117" s="102" t="s">
        <v>838</v>
      </c>
      <c r="Q117" s="102"/>
      <c r="R117" s="102"/>
      <c r="S117" s="34">
        <f>(S115*S116)</f>
        <v>162</v>
      </c>
      <c r="U117" s="102" t="s">
        <v>838</v>
      </c>
      <c r="V117" s="102"/>
      <c r="W117" s="102"/>
      <c r="X117" s="34">
        <f>(X115*X116)</f>
        <v>162</v>
      </c>
    </row>
    <row r="118" spans="1:24" x14ac:dyDescent="0.3">
      <c r="A118" s="102" t="s">
        <v>839</v>
      </c>
      <c r="B118" s="102"/>
      <c r="C118" s="102"/>
      <c r="D118" s="45">
        <f>D117/5</f>
        <v>37.200000000000003</v>
      </c>
      <c r="F118" s="102" t="s">
        <v>839</v>
      </c>
      <c r="G118" s="102"/>
      <c r="H118" s="102"/>
      <c r="I118" s="45">
        <f>I117/5</f>
        <v>37.200000000000003</v>
      </c>
      <c r="K118" s="102" t="s">
        <v>839</v>
      </c>
      <c r="L118" s="102"/>
      <c r="M118" s="102"/>
      <c r="N118" s="45">
        <f>N117/5</f>
        <v>32.4</v>
      </c>
      <c r="P118" s="102" t="s">
        <v>839</v>
      </c>
      <c r="Q118" s="102"/>
      <c r="R118" s="102"/>
      <c r="S118" s="45">
        <f>S117/5</f>
        <v>32.4</v>
      </c>
      <c r="U118" s="102" t="s">
        <v>839</v>
      </c>
      <c r="V118" s="102"/>
      <c r="W118" s="102"/>
      <c r="X118" s="45">
        <f>X117/5</f>
        <v>32.4</v>
      </c>
    </row>
    <row r="121" spans="1:24" x14ac:dyDescent="0.3">
      <c r="A121" s="67" t="s">
        <v>873</v>
      </c>
      <c r="F121" s="67" t="s">
        <v>874</v>
      </c>
      <c r="G121" s="35"/>
      <c r="H121" s="35"/>
      <c r="I121" s="35"/>
      <c r="K121" s="67" t="s">
        <v>875</v>
      </c>
      <c r="L121" s="35"/>
      <c r="M121" s="35"/>
      <c r="N121" s="35"/>
      <c r="P121" s="67" t="s">
        <v>876</v>
      </c>
      <c r="Q121" s="35"/>
      <c r="R121" s="35"/>
      <c r="S121" s="35"/>
    </row>
    <row r="122" spans="1:24" x14ac:dyDescent="0.3">
      <c r="A122" s="36" t="s">
        <v>827</v>
      </c>
      <c r="B122" s="37" t="s">
        <v>828</v>
      </c>
      <c r="C122" s="37" t="s">
        <v>829</v>
      </c>
      <c r="D122" s="37" t="s">
        <v>830</v>
      </c>
      <c r="F122" s="36" t="s">
        <v>827</v>
      </c>
      <c r="G122" s="37" t="s">
        <v>828</v>
      </c>
      <c r="H122" s="37" t="s">
        <v>829</v>
      </c>
      <c r="I122" s="37" t="s">
        <v>830</v>
      </c>
      <c r="K122" s="36" t="s">
        <v>827</v>
      </c>
      <c r="L122" s="37" t="s">
        <v>828</v>
      </c>
      <c r="M122" s="37" t="s">
        <v>829</v>
      </c>
      <c r="N122" s="37" t="s">
        <v>830</v>
      </c>
      <c r="P122" s="36" t="s">
        <v>827</v>
      </c>
      <c r="Q122" s="37" t="s">
        <v>828</v>
      </c>
      <c r="R122" s="37" t="s">
        <v>829</v>
      </c>
      <c r="S122" s="37" t="s">
        <v>830</v>
      </c>
    </row>
    <row r="123" spans="1:24" x14ac:dyDescent="0.3">
      <c r="A123" s="33" t="s">
        <v>831</v>
      </c>
      <c r="B123" s="34">
        <v>9</v>
      </c>
      <c r="C123" s="34">
        <v>5</v>
      </c>
      <c r="D123" s="34">
        <f t="shared" ref="D123:D129" si="29">B123*C123</f>
        <v>45</v>
      </c>
      <c r="F123" s="33" t="s">
        <v>831</v>
      </c>
      <c r="G123" s="34">
        <v>9</v>
      </c>
      <c r="H123" s="34">
        <v>5</v>
      </c>
      <c r="I123" s="34">
        <f t="shared" ref="I123:I129" si="30">G123*H123</f>
        <v>45</v>
      </c>
      <c r="K123" s="33" t="s">
        <v>831</v>
      </c>
      <c r="L123" s="34">
        <v>9</v>
      </c>
      <c r="M123" s="34">
        <v>5</v>
      </c>
      <c r="N123" s="34">
        <f t="shared" ref="N123:N129" si="31">L123*M123</f>
        <v>45</v>
      </c>
      <c r="P123" s="33" t="s">
        <v>831</v>
      </c>
      <c r="Q123" s="34">
        <v>9</v>
      </c>
      <c r="R123" s="34">
        <v>5</v>
      </c>
      <c r="S123" s="34">
        <f t="shared" ref="S123:S129" si="32">Q123*R123</f>
        <v>45</v>
      </c>
    </row>
    <row r="124" spans="1:24" x14ac:dyDescent="0.3">
      <c r="A124" s="33" t="s">
        <v>832</v>
      </c>
      <c r="B124" s="34">
        <v>9</v>
      </c>
      <c r="C124" s="34">
        <v>5</v>
      </c>
      <c r="D124" s="34">
        <f t="shared" si="29"/>
        <v>45</v>
      </c>
      <c r="F124" s="33" t="s">
        <v>832</v>
      </c>
      <c r="G124" s="34">
        <v>9</v>
      </c>
      <c r="H124" s="34">
        <v>5</v>
      </c>
      <c r="I124" s="34">
        <f t="shared" si="30"/>
        <v>45</v>
      </c>
      <c r="K124" s="33" t="s">
        <v>832</v>
      </c>
      <c r="L124" s="34">
        <v>9</v>
      </c>
      <c r="M124" s="34">
        <v>5</v>
      </c>
      <c r="N124" s="34">
        <f t="shared" si="31"/>
        <v>45</v>
      </c>
      <c r="P124" s="33" t="s">
        <v>832</v>
      </c>
      <c r="Q124" s="34">
        <v>9</v>
      </c>
      <c r="R124" s="34">
        <v>5</v>
      </c>
      <c r="S124" s="34">
        <f t="shared" si="32"/>
        <v>45</v>
      </c>
    </row>
    <row r="125" spans="1:24" x14ac:dyDescent="0.3">
      <c r="A125" s="33" t="s">
        <v>833</v>
      </c>
      <c r="B125" s="34">
        <v>9</v>
      </c>
      <c r="C125" s="34">
        <v>5</v>
      </c>
      <c r="D125" s="34">
        <f t="shared" si="29"/>
        <v>45</v>
      </c>
      <c r="F125" s="33" t="s">
        <v>833</v>
      </c>
      <c r="G125" s="34">
        <v>9</v>
      </c>
      <c r="H125" s="34">
        <v>5</v>
      </c>
      <c r="I125" s="34">
        <f t="shared" si="30"/>
        <v>45</v>
      </c>
      <c r="K125" s="33" t="s">
        <v>833</v>
      </c>
      <c r="L125" s="34">
        <v>9</v>
      </c>
      <c r="M125" s="34">
        <v>5</v>
      </c>
      <c r="N125" s="34">
        <f t="shared" si="31"/>
        <v>45</v>
      </c>
      <c r="P125" s="33" t="s">
        <v>833</v>
      </c>
      <c r="Q125" s="34">
        <v>9</v>
      </c>
      <c r="R125" s="34">
        <v>5</v>
      </c>
      <c r="S125" s="34">
        <f t="shared" si="32"/>
        <v>45</v>
      </c>
    </row>
    <row r="126" spans="1:24" x14ac:dyDescent="0.3">
      <c r="A126" s="33" t="s">
        <v>834</v>
      </c>
      <c r="B126" s="34">
        <v>9</v>
      </c>
      <c r="C126" s="34">
        <v>4</v>
      </c>
      <c r="D126" s="34">
        <f t="shared" si="29"/>
        <v>36</v>
      </c>
      <c r="F126" s="33" t="s">
        <v>834</v>
      </c>
      <c r="G126" s="34">
        <v>9</v>
      </c>
      <c r="H126" s="34">
        <v>5</v>
      </c>
      <c r="I126" s="34">
        <f t="shared" si="30"/>
        <v>45</v>
      </c>
      <c r="K126" s="33" t="s">
        <v>834</v>
      </c>
      <c r="L126" s="34">
        <v>9</v>
      </c>
      <c r="M126" s="34">
        <v>5</v>
      </c>
      <c r="N126" s="34">
        <f t="shared" si="31"/>
        <v>45</v>
      </c>
      <c r="P126" s="33" t="s">
        <v>834</v>
      </c>
      <c r="Q126" s="34">
        <v>9</v>
      </c>
      <c r="R126" s="34">
        <v>5</v>
      </c>
      <c r="S126" s="34">
        <f t="shared" si="32"/>
        <v>45</v>
      </c>
    </row>
    <row r="127" spans="1:24" x14ac:dyDescent="0.3">
      <c r="A127" s="33" t="s">
        <v>835</v>
      </c>
      <c r="B127" s="34">
        <v>9</v>
      </c>
      <c r="C127" s="34">
        <v>5</v>
      </c>
      <c r="D127" s="34">
        <f t="shared" si="29"/>
        <v>45</v>
      </c>
      <c r="F127" s="33" t="s">
        <v>835</v>
      </c>
      <c r="G127" s="34">
        <v>9</v>
      </c>
      <c r="H127" s="34">
        <v>2</v>
      </c>
      <c r="I127" s="34">
        <f t="shared" si="30"/>
        <v>18</v>
      </c>
      <c r="K127" s="33" t="s">
        <v>835</v>
      </c>
      <c r="L127" s="34">
        <v>9</v>
      </c>
      <c r="M127" s="34">
        <v>0</v>
      </c>
      <c r="N127" s="34">
        <f t="shared" si="31"/>
        <v>0</v>
      </c>
      <c r="P127" s="33" t="s">
        <v>835</v>
      </c>
      <c r="Q127" s="34">
        <v>9</v>
      </c>
      <c r="R127" s="34">
        <v>0</v>
      </c>
      <c r="S127" s="34">
        <f t="shared" si="32"/>
        <v>0</v>
      </c>
    </row>
    <row r="128" spans="1:24" x14ac:dyDescent="0.3">
      <c r="A128" s="68"/>
      <c r="B128" s="69"/>
      <c r="C128" s="69"/>
      <c r="D128" s="69">
        <f t="shared" si="29"/>
        <v>0</v>
      </c>
      <c r="E128" s="17"/>
      <c r="F128" s="68" t="s">
        <v>849</v>
      </c>
      <c r="G128" s="69">
        <v>9</v>
      </c>
      <c r="H128" s="69">
        <v>4</v>
      </c>
      <c r="I128" s="69">
        <f t="shared" si="30"/>
        <v>36</v>
      </c>
      <c r="K128" s="33" t="s">
        <v>849</v>
      </c>
      <c r="L128" s="34">
        <v>9</v>
      </c>
      <c r="M128" s="34">
        <v>5</v>
      </c>
      <c r="N128" s="34">
        <f t="shared" si="31"/>
        <v>45</v>
      </c>
      <c r="P128" s="33" t="s">
        <v>849</v>
      </c>
      <c r="Q128" s="34">
        <v>9</v>
      </c>
      <c r="R128" s="34">
        <v>5</v>
      </c>
      <c r="S128" s="34">
        <f t="shared" si="32"/>
        <v>45</v>
      </c>
    </row>
    <row r="129" spans="1:24" x14ac:dyDescent="0.3">
      <c r="A129" s="33"/>
      <c r="B129" s="34"/>
      <c r="C129" s="34"/>
      <c r="D129" s="34">
        <f t="shared" si="29"/>
        <v>0</v>
      </c>
      <c r="F129" s="33"/>
      <c r="G129" s="34"/>
      <c r="H129" s="34"/>
      <c r="I129" s="34">
        <f t="shared" si="30"/>
        <v>0</v>
      </c>
      <c r="K129" s="33"/>
      <c r="L129" s="34"/>
      <c r="M129" s="34"/>
      <c r="N129" s="34">
        <f t="shared" si="31"/>
        <v>0</v>
      </c>
      <c r="P129" s="33"/>
      <c r="Q129" s="34"/>
      <c r="R129" s="34"/>
      <c r="S129" s="34">
        <f t="shared" si="32"/>
        <v>0</v>
      </c>
    </row>
    <row r="130" spans="1:24" x14ac:dyDescent="0.3">
      <c r="A130" s="102" t="s">
        <v>836</v>
      </c>
      <c r="B130" s="102"/>
      <c r="C130" s="102"/>
      <c r="D130" s="34">
        <f>SUM(D123:D129)</f>
        <v>216</v>
      </c>
      <c r="F130" s="102" t="s">
        <v>836</v>
      </c>
      <c r="G130" s="102"/>
      <c r="H130" s="102"/>
      <c r="I130" s="34">
        <f>SUM(I123:I129)</f>
        <v>234</v>
      </c>
      <c r="K130" s="102" t="s">
        <v>836</v>
      </c>
      <c r="L130" s="102"/>
      <c r="M130" s="102"/>
      <c r="N130" s="34">
        <f>SUM(N123:N129)</f>
        <v>225</v>
      </c>
      <c r="P130" s="102" t="s">
        <v>836</v>
      </c>
      <c r="Q130" s="102"/>
      <c r="R130" s="102"/>
      <c r="S130" s="34">
        <f>SUM(S123:S129)</f>
        <v>225</v>
      </c>
    </row>
    <row r="131" spans="1:24" x14ac:dyDescent="0.3">
      <c r="A131" s="102" t="s">
        <v>837</v>
      </c>
      <c r="B131" s="102"/>
      <c r="C131" s="102"/>
      <c r="D131" s="44">
        <v>0.75</v>
      </c>
      <c r="F131" s="102" t="s">
        <v>837</v>
      </c>
      <c r="G131" s="102"/>
      <c r="H131" s="102"/>
      <c r="I131" s="44">
        <v>0.75</v>
      </c>
      <c r="K131" s="102" t="s">
        <v>837</v>
      </c>
      <c r="L131" s="102"/>
      <c r="M131" s="102"/>
      <c r="N131" s="44">
        <v>0.75</v>
      </c>
      <c r="P131" s="102" t="s">
        <v>837</v>
      </c>
      <c r="Q131" s="102"/>
      <c r="R131" s="102"/>
      <c r="S131" s="44">
        <v>0.75</v>
      </c>
    </row>
    <row r="132" spans="1:24" x14ac:dyDescent="0.3">
      <c r="A132" s="102" t="s">
        <v>838</v>
      </c>
      <c r="B132" s="102"/>
      <c r="C132" s="102"/>
      <c r="D132" s="34">
        <f>(D130*D131)</f>
        <v>162</v>
      </c>
      <c r="F132" s="102" t="s">
        <v>838</v>
      </c>
      <c r="G132" s="102"/>
      <c r="H132" s="102"/>
      <c r="I132" s="34">
        <f>(I130*I131)</f>
        <v>175.5</v>
      </c>
      <c r="K132" s="102" t="s">
        <v>838</v>
      </c>
      <c r="L132" s="102"/>
      <c r="M132" s="102"/>
      <c r="N132" s="34">
        <f>(N130*N131)</f>
        <v>168.75</v>
      </c>
      <c r="P132" s="102" t="s">
        <v>838</v>
      </c>
      <c r="Q132" s="102"/>
      <c r="R132" s="102"/>
      <c r="S132" s="34">
        <f>(S130*S131)</f>
        <v>168.75</v>
      </c>
    </row>
    <row r="133" spans="1:24" x14ac:dyDescent="0.3">
      <c r="A133" s="102" t="s">
        <v>839</v>
      </c>
      <c r="B133" s="102"/>
      <c r="C133" s="102"/>
      <c r="D133" s="45">
        <f>D132/5</f>
        <v>32.4</v>
      </c>
      <c r="F133" s="102" t="s">
        <v>839</v>
      </c>
      <c r="G133" s="102"/>
      <c r="H133" s="102"/>
      <c r="I133" s="45">
        <f>I132/5</f>
        <v>35.1</v>
      </c>
      <c r="K133" s="102" t="s">
        <v>839</v>
      </c>
      <c r="L133" s="102"/>
      <c r="M133" s="102"/>
      <c r="N133" s="45">
        <f>N132/5</f>
        <v>33.75</v>
      </c>
      <c r="P133" s="102" t="s">
        <v>839</v>
      </c>
      <c r="Q133" s="102"/>
      <c r="R133" s="102"/>
      <c r="S133" s="45">
        <f>S132/5</f>
        <v>33.75</v>
      </c>
    </row>
    <row r="136" spans="1:24" x14ac:dyDescent="0.3">
      <c r="A136" s="67" t="s">
        <v>877</v>
      </c>
      <c r="F136" s="67" t="s">
        <v>878</v>
      </c>
      <c r="G136" s="35"/>
      <c r="H136" s="35"/>
      <c r="I136" s="35"/>
      <c r="K136" s="67" t="s">
        <v>879</v>
      </c>
      <c r="L136" s="35"/>
      <c r="M136" s="35"/>
      <c r="N136" s="35"/>
      <c r="P136" s="67" t="s">
        <v>880</v>
      </c>
      <c r="Q136" s="35"/>
      <c r="R136" s="35"/>
      <c r="S136" s="35"/>
      <c r="U136" s="67" t="s">
        <v>881</v>
      </c>
      <c r="V136" s="35"/>
      <c r="W136" s="35"/>
      <c r="X136" s="35"/>
    </row>
    <row r="137" spans="1:24" x14ac:dyDescent="0.3">
      <c r="A137" s="36" t="s">
        <v>827</v>
      </c>
      <c r="B137" s="37" t="s">
        <v>828</v>
      </c>
      <c r="C137" s="37" t="s">
        <v>829</v>
      </c>
      <c r="D137" s="37" t="s">
        <v>830</v>
      </c>
      <c r="F137" s="36" t="s">
        <v>827</v>
      </c>
      <c r="G137" s="37" t="s">
        <v>828</v>
      </c>
      <c r="H137" s="37" t="s">
        <v>829</v>
      </c>
      <c r="I137" s="37" t="s">
        <v>830</v>
      </c>
      <c r="K137" s="36" t="s">
        <v>827</v>
      </c>
      <c r="L137" s="37" t="s">
        <v>828</v>
      </c>
      <c r="M137" s="37" t="s">
        <v>829</v>
      </c>
      <c r="N137" s="37" t="s">
        <v>830</v>
      </c>
      <c r="P137" s="36" t="s">
        <v>827</v>
      </c>
      <c r="Q137" s="37" t="s">
        <v>828</v>
      </c>
      <c r="R137" s="37" t="s">
        <v>829</v>
      </c>
      <c r="S137" s="37" t="s">
        <v>830</v>
      </c>
      <c r="U137" s="36" t="s">
        <v>827</v>
      </c>
      <c r="V137" s="37" t="s">
        <v>828</v>
      </c>
      <c r="W137" s="37" t="s">
        <v>829</v>
      </c>
      <c r="X137" s="37" t="s">
        <v>830</v>
      </c>
    </row>
    <row r="138" spans="1:24" x14ac:dyDescent="0.3">
      <c r="A138" s="33" t="s">
        <v>831</v>
      </c>
      <c r="B138" s="34">
        <v>9</v>
      </c>
      <c r="C138" s="34">
        <v>5</v>
      </c>
      <c r="D138" s="34">
        <f t="shared" ref="D138:D144" si="33">B138*C138</f>
        <v>45</v>
      </c>
      <c r="F138" s="33" t="s">
        <v>831</v>
      </c>
      <c r="G138" s="34">
        <v>9</v>
      </c>
      <c r="H138" s="34">
        <v>5</v>
      </c>
      <c r="I138" s="34">
        <f t="shared" ref="I138:I144" si="34">G138*H138</f>
        <v>45</v>
      </c>
      <c r="K138" s="33" t="s">
        <v>831</v>
      </c>
      <c r="L138" s="34">
        <v>9</v>
      </c>
      <c r="M138" s="34">
        <v>5</v>
      </c>
      <c r="N138" s="34">
        <f t="shared" ref="N138:N144" si="35">L138*M138</f>
        <v>45</v>
      </c>
      <c r="P138" s="33" t="s">
        <v>831</v>
      </c>
      <c r="Q138" s="34">
        <v>9</v>
      </c>
      <c r="R138" s="34">
        <v>5</v>
      </c>
      <c r="S138" s="34">
        <f t="shared" ref="S138:S144" si="36">Q138*R138</f>
        <v>45</v>
      </c>
      <c r="U138" s="33" t="s">
        <v>831</v>
      </c>
      <c r="V138" s="34">
        <v>9</v>
      </c>
      <c r="W138" s="34">
        <v>5</v>
      </c>
      <c r="X138" s="34">
        <f t="shared" ref="X138:X144" si="37">V138*W138</f>
        <v>45</v>
      </c>
    </row>
    <row r="139" spans="1:24" x14ac:dyDescent="0.3">
      <c r="A139" s="33" t="s">
        <v>832</v>
      </c>
      <c r="B139" s="34">
        <v>9</v>
      </c>
      <c r="C139" s="34">
        <v>5</v>
      </c>
      <c r="D139" s="34">
        <f t="shared" si="33"/>
        <v>45</v>
      </c>
      <c r="F139" s="33" t="s">
        <v>832</v>
      </c>
      <c r="G139" s="34">
        <v>9</v>
      </c>
      <c r="H139" s="34">
        <v>5</v>
      </c>
      <c r="I139" s="34">
        <f t="shared" si="34"/>
        <v>45</v>
      </c>
      <c r="K139" s="33" t="s">
        <v>832</v>
      </c>
      <c r="L139" s="34">
        <v>9</v>
      </c>
      <c r="M139" s="34">
        <v>5</v>
      </c>
      <c r="N139" s="34">
        <f t="shared" si="35"/>
        <v>45</v>
      </c>
      <c r="P139" s="33" t="s">
        <v>832</v>
      </c>
      <c r="Q139" s="34">
        <v>9</v>
      </c>
      <c r="R139" s="34">
        <v>5</v>
      </c>
      <c r="S139" s="34">
        <f t="shared" si="36"/>
        <v>45</v>
      </c>
      <c r="U139" s="33" t="s">
        <v>832</v>
      </c>
      <c r="V139" s="34">
        <v>9</v>
      </c>
      <c r="W139" s="34">
        <v>5</v>
      </c>
      <c r="X139" s="34">
        <f t="shared" si="37"/>
        <v>45</v>
      </c>
    </row>
    <row r="140" spans="1:24" x14ac:dyDescent="0.3">
      <c r="A140" s="33" t="s">
        <v>833</v>
      </c>
      <c r="B140" s="34">
        <v>9</v>
      </c>
      <c r="C140" s="34">
        <v>5</v>
      </c>
      <c r="D140" s="34">
        <f t="shared" si="33"/>
        <v>45</v>
      </c>
      <c r="F140" s="33" t="s">
        <v>833</v>
      </c>
      <c r="G140" s="34">
        <v>9</v>
      </c>
      <c r="H140" s="34">
        <v>5</v>
      </c>
      <c r="I140" s="34">
        <f t="shared" si="34"/>
        <v>45</v>
      </c>
      <c r="K140" s="33" t="s">
        <v>833</v>
      </c>
      <c r="L140" s="34">
        <v>9</v>
      </c>
      <c r="M140" s="34">
        <v>5</v>
      </c>
      <c r="N140" s="34">
        <f t="shared" si="35"/>
        <v>45</v>
      </c>
      <c r="P140" s="33" t="s">
        <v>833</v>
      </c>
      <c r="Q140" s="34">
        <v>9</v>
      </c>
      <c r="R140" s="34">
        <v>5</v>
      </c>
      <c r="S140" s="34">
        <f t="shared" si="36"/>
        <v>45</v>
      </c>
      <c r="U140" s="33" t="s">
        <v>833</v>
      </c>
      <c r="V140" s="34">
        <v>9</v>
      </c>
      <c r="W140" s="34">
        <v>0</v>
      </c>
      <c r="X140" s="34">
        <f t="shared" si="37"/>
        <v>0</v>
      </c>
    </row>
    <row r="141" spans="1:24" x14ac:dyDescent="0.3">
      <c r="A141" s="33" t="s">
        <v>834</v>
      </c>
      <c r="B141" s="34">
        <v>9</v>
      </c>
      <c r="C141" s="34">
        <v>4</v>
      </c>
      <c r="D141" s="34">
        <f t="shared" si="33"/>
        <v>36</v>
      </c>
      <c r="F141" s="33" t="s">
        <v>834</v>
      </c>
      <c r="G141" s="34">
        <v>9</v>
      </c>
      <c r="H141" s="34">
        <v>4</v>
      </c>
      <c r="I141" s="34">
        <f t="shared" si="34"/>
        <v>36</v>
      </c>
      <c r="K141" s="33" t="s">
        <v>834</v>
      </c>
      <c r="L141" s="34">
        <v>9</v>
      </c>
      <c r="M141" s="34">
        <v>4</v>
      </c>
      <c r="N141" s="34">
        <f t="shared" si="35"/>
        <v>36</v>
      </c>
      <c r="P141" s="33" t="s">
        <v>834</v>
      </c>
      <c r="Q141" s="34">
        <v>9</v>
      </c>
      <c r="R141" s="34">
        <v>4</v>
      </c>
      <c r="S141" s="34">
        <f t="shared" si="36"/>
        <v>36</v>
      </c>
      <c r="U141" s="33" t="s">
        <v>834</v>
      </c>
      <c r="V141" s="34">
        <v>9</v>
      </c>
      <c r="W141" s="34">
        <v>4</v>
      </c>
      <c r="X141" s="34">
        <f t="shared" si="37"/>
        <v>36</v>
      </c>
    </row>
    <row r="142" spans="1:24" x14ac:dyDescent="0.3">
      <c r="A142" s="33" t="s">
        <v>835</v>
      </c>
      <c r="B142" s="34">
        <v>9</v>
      </c>
      <c r="C142" s="34">
        <v>5</v>
      </c>
      <c r="D142" s="34">
        <f t="shared" si="33"/>
        <v>45</v>
      </c>
      <c r="F142" s="33" t="s">
        <v>835</v>
      </c>
      <c r="G142" s="34">
        <v>9</v>
      </c>
      <c r="H142" s="34">
        <v>5</v>
      </c>
      <c r="I142" s="34">
        <f t="shared" si="34"/>
        <v>45</v>
      </c>
      <c r="K142" s="33" t="s">
        <v>835</v>
      </c>
      <c r="L142" s="34">
        <v>9</v>
      </c>
      <c r="M142" s="34">
        <v>5</v>
      </c>
      <c r="N142" s="34">
        <f t="shared" si="35"/>
        <v>45</v>
      </c>
      <c r="P142" s="33" t="s">
        <v>835</v>
      </c>
      <c r="Q142" s="34">
        <v>9</v>
      </c>
      <c r="R142" s="34">
        <v>5</v>
      </c>
      <c r="S142" s="34">
        <f t="shared" si="36"/>
        <v>45</v>
      </c>
      <c r="U142" s="33" t="s">
        <v>835</v>
      </c>
      <c r="V142" s="34">
        <v>9</v>
      </c>
      <c r="W142" s="34">
        <v>5</v>
      </c>
      <c r="X142" s="34">
        <f t="shared" si="37"/>
        <v>45</v>
      </c>
    </row>
    <row r="143" spans="1:24" x14ac:dyDescent="0.3">
      <c r="A143" s="33" t="s">
        <v>849</v>
      </c>
      <c r="B143" s="34">
        <v>8.1999999999999993</v>
      </c>
      <c r="C143" s="34">
        <v>5</v>
      </c>
      <c r="D143" s="34">
        <f t="shared" si="33"/>
        <v>41</v>
      </c>
      <c r="F143" s="33" t="s">
        <v>849</v>
      </c>
      <c r="G143" s="34">
        <v>8.1999999999999993</v>
      </c>
      <c r="H143" s="34">
        <v>5</v>
      </c>
      <c r="I143" s="34">
        <f t="shared" si="34"/>
        <v>41</v>
      </c>
      <c r="K143" s="33" t="s">
        <v>849</v>
      </c>
      <c r="L143" s="34">
        <v>8.1999999999999993</v>
      </c>
      <c r="M143" s="34">
        <v>5</v>
      </c>
      <c r="N143" s="34">
        <f t="shared" si="35"/>
        <v>41</v>
      </c>
      <c r="P143" s="33" t="s">
        <v>849</v>
      </c>
      <c r="Q143" s="34">
        <v>8.1999999999999993</v>
      </c>
      <c r="R143" s="34">
        <v>5</v>
      </c>
      <c r="S143" s="34">
        <f t="shared" si="36"/>
        <v>41</v>
      </c>
      <c r="U143" s="33" t="s">
        <v>849</v>
      </c>
      <c r="V143" s="34">
        <v>8.1999999999999993</v>
      </c>
      <c r="W143" s="34">
        <v>5</v>
      </c>
      <c r="X143" s="34">
        <f t="shared" si="37"/>
        <v>41</v>
      </c>
    </row>
    <row r="144" spans="1:24" x14ac:dyDescent="0.3">
      <c r="A144" s="33"/>
      <c r="B144" s="34"/>
      <c r="C144" s="34"/>
      <c r="D144" s="34">
        <f t="shared" si="33"/>
        <v>0</v>
      </c>
      <c r="F144" s="33"/>
      <c r="G144" s="34"/>
      <c r="H144" s="34"/>
      <c r="I144" s="34">
        <f t="shared" si="34"/>
        <v>0</v>
      </c>
      <c r="K144" s="33"/>
      <c r="L144" s="34"/>
      <c r="M144" s="34"/>
      <c r="N144" s="34">
        <f t="shared" si="35"/>
        <v>0</v>
      </c>
      <c r="P144" s="33"/>
      <c r="Q144" s="34"/>
      <c r="R144" s="34"/>
      <c r="S144" s="34">
        <f t="shared" si="36"/>
        <v>0</v>
      </c>
      <c r="U144" s="33"/>
      <c r="V144" s="34"/>
      <c r="W144" s="34"/>
      <c r="X144" s="34">
        <f t="shared" si="37"/>
        <v>0</v>
      </c>
    </row>
    <row r="145" spans="1:24" x14ac:dyDescent="0.3">
      <c r="A145" s="102" t="s">
        <v>836</v>
      </c>
      <c r="B145" s="102"/>
      <c r="C145" s="102"/>
      <c r="D145" s="34">
        <f>SUM(D138:D144)</f>
        <v>257</v>
      </c>
      <c r="F145" s="102" t="s">
        <v>836</v>
      </c>
      <c r="G145" s="102"/>
      <c r="H145" s="102"/>
      <c r="I145" s="34">
        <f>SUM(I138:I144)</f>
        <v>257</v>
      </c>
      <c r="K145" s="102" t="s">
        <v>836</v>
      </c>
      <c r="L145" s="102"/>
      <c r="M145" s="102"/>
      <c r="N145" s="34">
        <f>SUM(N138:N144)</f>
        <v>257</v>
      </c>
      <c r="P145" s="102" t="s">
        <v>836</v>
      </c>
      <c r="Q145" s="102"/>
      <c r="R145" s="102"/>
      <c r="S145" s="34">
        <f>SUM(S138:S144)</f>
        <v>257</v>
      </c>
      <c r="U145" s="102" t="s">
        <v>836</v>
      </c>
      <c r="V145" s="102"/>
      <c r="W145" s="102"/>
      <c r="X145" s="34">
        <f>SUM(X138:X144)</f>
        <v>212</v>
      </c>
    </row>
    <row r="146" spans="1:24" x14ac:dyDescent="0.3">
      <c r="A146" s="102" t="s">
        <v>837</v>
      </c>
      <c r="B146" s="102"/>
      <c r="C146" s="102"/>
      <c r="D146" s="44">
        <v>0.75</v>
      </c>
      <c r="F146" s="102" t="s">
        <v>837</v>
      </c>
      <c r="G146" s="102"/>
      <c r="H146" s="102"/>
      <c r="I146" s="44">
        <v>0.75</v>
      </c>
      <c r="K146" s="102" t="s">
        <v>837</v>
      </c>
      <c r="L146" s="102"/>
      <c r="M146" s="102"/>
      <c r="N146" s="44">
        <v>0.75</v>
      </c>
      <c r="P146" s="102" t="s">
        <v>837</v>
      </c>
      <c r="Q146" s="102"/>
      <c r="R146" s="102"/>
      <c r="S146" s="44">
        <v>0.75</v>
      </c>
      <c r="U146" s="102" t="s">
        <v>837</v>
      </c>
      <c r="V146" s="102"/>
      <c r="W146" s="102"/>
      <c r="X146" s="44">
        <v>0.75</v>
      </c>
    </row>
    <row r="147" spans="1:24" x14ac:dyDescent="0.3">
      <c r="A147" s="102" t="s">
        <v>838</v>
      </c>
      <c r="B147" s="102"/>
      <c r="C147" s="102"/>
      <c r="D147" s="34">
        <f>(D145*D146)</f>
        <v>192.75</v>
      </c>
      <c r="F147" s="102" t="s">
        <v>838</v>
      </c>
      <c r="G147" s="102"/>
      <c r="H147" s="102"/>
      <c r="I147" s="34">
        <f>(I145*I146)</f>
        <v>192.75</v>
      </c>
      <c r="K147" s="102" t="s">
        <v>838</v>
      </c>
      <c r="L147" s="102"/>
      <c r="M147" s="102"/>
      <c r="N147" s="34">
        <f>(N145*N146)</f>
        <v>192.75</v>
      </c>
      <c r="P147" s="102" t="s">
        <v>838</v>
      </c>
      <c r="Q147" s="102"/>
      <c r="R147" s="102"/>
      <c r="S147" s="34">
        <f>(S145*S146)</f>
        <v>192.75</v>
      </c>
      <c r="U147" s="102" t="s">
        <v>838</v>
      </c>
      <c r="V147" s="102"/>
      <c r="W147" s="102"/>
      <c r="X147" s="34">
        <f>(X145*X146)</f>
        <v>159</v>
      </c>
    </row>
    <row r="148" spans="1:24" x14ac:dyDescent="0.3">
      <c r="A148" s="102" t="s">
        <v>839</v>
      </c>
      <c r="B148" s="102"/>
      <c r="C148" s="102"/>
      <c r="D148" s="45">
        <f>D147/5</f>
        <v>38.549999999999997</v>
      </c>
      <c r="F148" s="102" t="s">
        <v>839</v>
      </c>
      <c r="G148" s="102"/>
      <c r="H148" s="102"/>
      <c r="I148" s="45">
        <f>I147/5</f>
        <v>38.549999999999997</v>
      </c>
      <c r="K148" s="102" t="s">
        <v>839</v>
      </c>
      <c r="L148" s="102"/>
      <c r="M148" s="102"/>
      <c r="N148" s="45">
        <f>N147/5</f>
        <v>38.549999999999997</v>
      </c>
      <c r="P148" s="102" t="s">
        <v>839</v>
      </c>
      <c r="Q148" s="102"/>
      <c r="R148" s="102"/>
      <c r="S148" s="45">
        <f>S147/5</f>
        <v>38.549999999999997</v>
      </c>
      <c r="U148" s="102" t="s">
        <v>839</v>
      </c>
      <c r="V148" s="102"/>
      <c r="W148" s="102"/>
      <c r="X148" s="45">
        <f>X147/5</f>
        <v>31.8</v>
      </c>
    </row>
    <row r="151" spans="1:24" x14ac:dyDescent="0.3">
      <c r="A151" s="67" t="s">
        <v>882</v>
      </c>
      <c r="F151" s="67" t="s">
        <v>883</v>
      </c>
      <c r="G151" s="35"/>
      <c r="H151" s="35"/>
      <c r="I151" s="35"/>
      <c r="K151" s="67" t="s">
        <v>884</v>
      </c>
      <c r="L151" s="35"/>
      <c r="M151" s="35"/>
      <c r="N151" s="35"/>
      <c r="P151" s="67" t="s">
        <v>885</v>
      </c>
      <c r="Q151" s="35"/>
      <c r="R151" s="35"/>
      <c r="S151" s="35"/>
    </row>
    <row r="152" spans="1:24" x14ac:dyDescent="0.3">
      <c r="A152" s="36" t="s">
        <v>827</v>
      </c>
      <c r="B152" s="37" t="s">
        <v>828</v>
      </c>
      <c r="C152" s="37" t="s">
        <v>829</v>
      </c>
      <c r="D152" s="37" t="s">
        <v>830</v>
      </c>
      <c r="F152" s="36" t="s">
        <v>827</v>
      </c>
      <c r="G152" s="37" t="s">
        <v>828</v>
      </c>
      <c r="H152" s="37" t="s">
        <v>829</v>
      </c>
      <c r="I152" s="37" t="s">
        <v>830</v>
      </c>
      <c r="K152" s="36" t="s">
        <v>827</v>
      </c>
      <c r="L152" s="37" t="s">
        <v>828</v>
      </c>
      <c r="M152" s="37" t="s">
        <v>829</v>
      </c>
      <c r="N152" s="37" t="s">
        <v>830</v>
      </c>
      <c r="P152" s="36" t="s">
        <v>827</v>
      </c>
      <c r="Q152" s="37" t="s">
        <v>828</v>
      </c>
      <c r="R152" s="37" t="s">
        <v>829</v>
      </c>
      <c r="S152" s="37" t="s">
        <v>830</v>
      </c>
    </row>
    <row r="153" spans="1:24" x14ac:dyDescent="0.3">
      <c r="A153" s="33" t="s">
        <v>831</v>
      </c>
      <c r="B153" s="34">
        <v>9</v>
      </c>
      <c r="C153" s="34">
        <v>5</v>
      </c>
      <c r="D153" s="34">
        <f t="shared" ref="D153:D159" si="38">B153*C153</f>
        <v>45</v>
      </c>
      <c r="F153" s="33" t="s">
        <v>831</v>
      </c>
      <c r="G153" s="34">
        <v>9</v>
      </c>
      <c r="H153" s="34">
        <v>5</v>
      </c>
      <c r="I153" s="34">
        <f t="shared" ref="I153:I159" si="39">G153*H153</f>
        <v>45</v>
      </c>
      <c r="K153" s="33" t="s">
        <v>831</v>
      </c>
      <c r="L153" s="34">
        <v>9</v>
      </c>
      <c r="M153" s="34">
        <v>5</v>
      </c>
      <c r="N153" s="34">
        <f t="shared" ref="N153:N159" si="40">L153*M153</f>
        <v>45</v>
      </c>
      <c r="P153" s="33" t="s">
        <v>831</v>
      </c>
      <c r="Q153" s="34">
        <v>9</v>
      </c>
      <c r="R153" s="34">
        <v>4</v>
      </c>
      <c r="S153" s="34">
        <f t="shared" ref="S153:S159" si="41">Q153*R153</f>
        <v>36</v>
      </c>
    </row>
    <row r="154" spans="1:24" x14ac:dyDescent="0.3">
      <c r="A154" s="33" t="s">
        <v>832</v>
      </c>
      <c r="B154" s="34">
        <v>9</v>
      </c>
      <c r="C154" s="34">
        <v>5</v>
      </c>
      <c r="D154" s="34">
        <f t="shared" si="38"/>
        <v>45</v>
      </c>
      <c r="F154" s="33" t="s">
        <v>832</v>
      </c>
      <c r="G154" s="34">
        <v>9</v>
      </c>
      <c r="H154" s="34">
        <v>5</v>
      </c>
      <c r="I154" s="34">
        <f t="shared" si="39"/>
        <v>45</v>
      </c>
      <c r="K154" s="33" t="s">
        <v>832</v>
      </c>
      <c r="L154" s="34">
        <v>9</v>
      </c>
      <c r="M154" s="34">
        <v>5</v>
      </c>
      <c r="N154" s="34">
        <f t="shared" si="40"/>
        <v>45</v>
      </c>
      <c r="P154" s="33" t="s">
        <v>832</v>
      </c>
      <c r="Q154" s="34">
        <v>9</v>
      </c>
      <c r="R154" s="34">
        <v>4</v>
      </c>
      <c r="S154" s="34">
        <f t="shared" si="41"/>
        <v>36</v>
      </c>
    </row>
    <row r="155" spans="1:24" x14ac:dyDescent="0.3">
      <c r="A155" s="33" t="s">
        <v>833</v>
      </c>
      <c r="B155" s="34">
        <v>9</v>
      </c>
      <c r="C155" s="34">
        <v>0</v>
      </c>
      <c r="D155" s="34">
        <f t="shared" si="38"/>
        <v>0</v>
      </c>
      <c r="F155" s="33" t="s">
        <v>833</v>
      </c>
      <c r="G155" s="34">
        <v>9</v>
      </c>
      <c r="H155" s="34">
        <v>0</v>
      </c>
      <c r="I155" s="34">
        <f t="shared" si="39"/>
        <v>0</v>
      </c>
      <c r="K155" s="33" t="s">
        <v>833</v>
      </c>
      <c r="L155" s="34">
        <v>9</v>
      </c>
      <c r="M155" s="34">
        <v>0</v>
      </c>
      <c r="N155" s="34">
        <f t="shared" si="40"/>
        <v>0</v>
      </c>
      <c r="P155" s="33" t="s">
        <v>833</v>
      </c>
      <c r="Q155" s="34">
        <v>9</v>
      </c>
      <c r="R155" s="34">
        <v>0</v>
      </c>
      <c r="S155" s="34">
        <f t="shared" si="41"/>
        <v>0</v>
      </c>
    </row>
    <row r="156" spans="1:24" x14ac:dyDescent="0.3">
      <c r="A156" s="33" t="s">
        <v>834</v>
      </c>
      <c r="B156" s="34">
        <v>9</v>
      </c>
      <c r="C156" s="34">
        <v>4</v>
      </c>
      <c r="D156" s="34">
        <f t="shared" si="38"/>
        <v>36</v>
      </c>
      <c r="F156" s="33" t="s">
        <v>834</v>
      </c>
      <c r="G156" s="34">
        <v>9</v>
      </c>
      <c r="H156" s="34">
        <v>4</v>
      </c>
      <c r="I156" s="34">
        <f t="shared" si="39"/>
        <v>36</v>
      </c>
      <c r="K156" s="33" t="s">
        <v>834</v>
      </c>
      <c r="L156" s="34">
        <v>9</v>
      </c>
      <c r="M156" s="34">
        <v>4</v>
      </c>
      <c r="N156" s="34">
        <f t="shared" si="40"/>
        <v>36</v>
      </c>
      <c r="P156" s="33" t="s">
        <v>834</v>
      </c>
      <c r="Q156" s="34">
        <v>9</v>
      </c>
      <c r="R156" s="34">
        <v>3</v>
      </c>
      <c r="S156" s="34">
        <f t="shared" si="41"/>
        <v>27</v>
      </c>
    </row>
    <row r="157" spans="1:24" x14ac:dyDescent="0.3">
      <c r="A157" s="33" t="s">
        <v>835</v>
      </c>
      <c r="B157" s="34">
        <v>9</v>
      </c>
      <c r="C157" s="34">
        <v>5</v>
      </c>
      <c r="D157" s="34">
        <f t="shared" si="38"/>
        <v>45</v>
      </c>
      <c r="F157" s="33" t="s">
        <v>835</v>
      </c>
      <c r="G157" s="34">
        <v>9</v>
      </c>
      <c r="H157" s="34">
        <v>5</v>
      </c>
      <c r="I157" s="34">
        <f t="shared" si="39"/>
        <v>45</v>
      </c>
      <c r="K157" s="33" t="s">
        <v>835</v>
      </c>
      <c r="L157" s="34">
        <v>9</v>
      </c>
      <c r="M157" s="34">
        <v>5</v>
      </c>
      <c r="N157" s="34">
        <f t="shared" si="40"/>
        <v>45</v>
      </c>
      <c r="P157" s="33" t="s">
        <v>835</v>
      </c>
      <c r="Q157" s="34">
        <v>9</v>
      </c>
      <c r="R157" s="34">
        <v>4</v>
      </c>
      <c r="S157" s="34">
        <f t="shared" si="41"/>
        <v>36</v>
      </c>
    </row>
    <row r="158" spans="1:24" x14ac:dyDescent="0.3">
      <c r="A158" s="33" t="s">
        <v>849</v>
      </c>
      <c r="B158" s="34">
        <v>8.1999999999999993</v>
      </c>
      <c r="C158" s="34">
        <v>5</v>
      </c>
      <c r="D158" s="34">
        <f t="shared" si="38"/>
        <v>41</v>
      </c>
      <c r="F158" s="33" t="s">
        <v>849</v>
      </c>
      <c r="G158" s="34">
        <v>8.1999999999999993</v>
      </c>
      <c r="H158" s="34">
        <v>5</v>
      </c>
      <c r="I158" s="34">
        <f t="shared" si="39"/>
        <v>41</v>
      </c>
      <c r="K158" s="33" t="s">
        <v>849</v>
      </c>
      <c r="L158" s="34">
        <v>8.1999999999999993</v>
      </c>
      <c r="M158" s="34">
        <v>5</v>
      </c>
      <c r="N158" s="34">
        <f t="shared" si="40"/>
        <v>41</v>
      </c>
      <c r="P158" s="33" t="s">
        <v>849</v>
      </c>
      <c r="Q158" s="34">
        <v>8.1999999999999993</v>
      </c>
      <c r="R158" s="34">
        <v>4</v>
      </c>
      <c r="S158" s="34">
        <f t="shared" si="41"/>
        <v>32.799999999999997</v>
      </c>
    </row>
    <row r="159" spans="1:24" x14ac:dyDescent="0.3">
      <c r="A159" s="33"/>
      <c r="B159" s="34"/>
      <c r="C159" s="34"/>
      <c r="D159" s="34">
        <f t="shared" si="38"/>
        <v>0</v>
      </c>
      <c r="F159" s="33"/>
      <c r="G159" s="34"/>
      <c r="H159" s="34"/>
      <c r="I159" s="34">
        <f t="shared" si="39"/>
        <v>0</v>
      </c>
      <c r="K159" s="33"/>
      <c r="L159" s="34"/>
      <c r="M159" s="34"/>
      <c r="N159" s="34">
        <f t="shared" si="40"/>
        <v>0</v>
      </c>
      <c r="P159" s="97" t="s">
        <v>886</v>
      </c>
      <c r="Q159" s="69"/>
      <c r="R159" s="34"/>
      <c r="S159" s="34">
        <f t="shared" si="41"/>
        <v>0</v>
      </c>
    </row>
    <row r="160" spans="1:24" x14ac:dyDescent="0.3">
      <c r="A160" s="102" t="s">
        <v>836</v>
      </c>
      <c r="B160" s="102"/>
      <c r="C160" s="102"/>
      <c r="D160" s="34">
        <f>SUM(D153:D159)</f>
        <v>212</v>
      </c>
      <c r="F160" s="102" t="s">
        <v>836</v>
      </c>
      <c r="G160" s="102"/>
      <c r="H160" s="102"/>
      <c r="I160" s="34">
        <f>SUM(I153:I159)</f>
        <v>212</v>
      </c>
      <c r="K160" s="102" t="s">
        <v>836</v>
      </c>
      <c r="L160" s="102"/>
      <c r="M160" s="102"/>
      <c r="N160" s="34">
        <f>SUM(N153:N159)</f>
        <v>212</v>
      </c>
      <c r="P160" s="102" t="s">
        <v>836</v>
      </c>
      <c r="Q160" s="102"/>
      <c r="R160" s="102"/>
      <c r="S160" s="34">
        <f>SUM(S153:S159)</f>
        <v>167.8</v>
      </c>
    </row>
    <row r="161" spans="1:19" x14ac:dyDescent="0.3">
      <c r="A161" s="102" t="s">
        <v>837</v>
      </c>
      <c r="B161" s="102"/>
      <c r="C161" s="102"/>
      <c r="D161" s="44">
        <v>0.75</v>
      </c>
      <c r="F161" s="102" t="s">
        <v>837</v>
      </c>
      <c r="G161" s="102"/>
      <c r="H161" s="102"/>
      <c r="I161" s="44">
        <v>0.75</v>
      </c>
      <c r="K161" s="102" t="s">
        <v>837</v>
      </c>
      <c r="L161" s="102"/>
      <c r="M161" s="102"/>
      <c r="N161" s="44">
        <v>0.75</v>
      </c>
      <c r="P161" s="102" t="s">
        <v>837</v>
      </c>
      <c r="Q161" s="102"/>
      <c r="R161" s="102"/>
      <c r="S161" s="44">
        <v>0.75</v>
      </c>
    </row>
    <row r="162" spans="1:19" x14ac:dyDescent="0.3">
      <c r="A162" s="102" t="s">
        <v>838</v>
      </c>
      <c r="B162" s="102"/>
      <c r="C162" s="102"/>
      <c r="D162" s="34">
        <f>(D160*D161)</f>
        <v>159</v>
      </c>
      <c r="F162" s="102" t="s">
        <v>838</v>
      </c>
      <c r="G162" s="102"/>
      <c r="H162" s="102"/>
      <c r="I162" s="34">
        <f>(I160*I161)</f>
        <v>159</v>
      </c>
      <c r="K162" s="102" t="s">
        <v>838</v>
      </c>
      <c r="L162" s="102"/>
      <c r="M162" s="102"/>
      <c r="N162" s="34">
        <f>(N160*N161)</f>
        <v>159</v>
      </c>
      <c r="P162" s="102" t="s">
        <v>838</v>
      </c>
      <c r="Q162" s="102"/>
      <c r="R162" s="102"/>
      <c r="S162" s="34">
        <f>(S160*S161)</f>
        <v>125.85000000000001</v>
      </c>
    </row>
    <row r="163" spans="1:19" x14ac:dyDescent="0.3">
      <c r="A163" s="102" t="s">
        <v>839</v>
      </c>
      <c r="B163" s="102"/>
      <c r="C163" s="102"/>
      <c r="D163" s="45">
        <f>D162/5</f>
        <v>31.8</v>
      </c>
      <c r="F163" s="102" t="s">
        <v>839</v>
      </c>
      <c r="G163" s="102"/>
      <c r="H163" s="102"/>
      <c r="I163" s="45">
        <f>I162/5</f>
        <v>31.8</v>
      </c>
      <c r="K163" s="102" t="s">
        <v>839</v>
      </c>
      <c r="L163" s="102"/>
      <c r="M163" s="102"/>
      <c r="N163" s="45">
        <f>N162/5</f>
        <v>31.8</v>
      </c>
      <c r="P163" s="102" t="s">
        <v>839</v>
      </c>
      <c r="Q163" s="102"/>
      <c r="R163" s="102"/>
      <c r="S163" s="45">
        <f>S162/5</f>
        <v>25.17</v>
      </c>
    </row>
    <row r="166" spans="1:19" x14ac:dyDescent="0.3">
      <c r="A166" s="67" t="s">
        <v>887</v>
      </c>
      <c r="F166" s="67" t="s">
        <v>888</v>
      </c>
      <c r="G166" s="35"/>
      <c r="H166" s="35"/>
      <c r="I166" s="35"/>
      <c r="K166" s="67" t="s">
        <v>889</v>
      </c>
      <c r="L166" s="35"/>
      <c r="M166" s="35"/>
      <c r="N166" s="35"/>
      <c r="P166" s="67" t="s">
        <v>890</v>
      </c>
      <c r="Q166" s="35"/>
      <c r="R166" s="35"/>
      <c r="S166" s="35"/>
    </row>
    <row r="167" spans="1:19" x14ac:dyDescent="0.3">
      <c r="A167" s="36" t="s">
        <v>827</v>
      </c>
      <c r="B167" s="37" t="s">
        <v>828</v>
      </c>
      <c r="C167" s="37" t="s">
        <v>829</v>
      </c>
      <c r="D167" s="37" t="s">
        <v>830</v>
      </c>
      <c r="F167" s="36" t="s">
        <v>827</v>
      </c>
      <c r="G167" s="37" t="s">
        <v>828</v>
      </c>
      <c r="H167" s="37" t="s">
        <v>829</v>
      </c>
      <c r="I167" s="37" t="s">
        <v>830</v>
      </c>
      <c r="K167" s="36" t="s">
        <v>827</v>
      </c>
      <c r="L167" s="37" t="s">
        <v>828</v>
      </c>
      <c r="M167" s="37" t="s">
        <v>829</v>
      </c>
      <c r="N167" s="37" t="s">
        <v>830</v>
      </c>
      <c r="P167" s="36" t="s">
        <v>827</v>
      </c>
      <c r="Q167" s="37" t="s">
        <v>828</v>
      </c>
      <c r="R167" s="37" t="s">
        <v>829</v>
      </c>
      <c r="S167" s="37" t="s">
        <v>830</v>
      </c>
    </row>
    <row r="168" spans="1:19" x14ac:dyDescent="0.3">
      <c r="A168" s="33" t="s">
        <v>831</v>
      </c>
      <c r="B168" s="34">
        <v>9</v>
      </c>
      <c r="C168" s="34">
        <v>5</v>
      </c>
      <c r="D168" s="34">
        <f t="shared" ref="D168:D174" si="42">B168*C168</f>
        <v>45</v>
      </c>
      <c r="F168" s="33" t="s">
        <v>831</v>
      </c>
      <c r="G168" s="34">
        <v>9</v>
      </c>
      <c r="H168" s="34">
        <v>5</v>
      </c>
      <c r="I168" s="34">
        <f t="shared" ref="I168:I174" si="43">G168*H168</f>
        <v>45</v>
      </c>
      <c r="K168" s="33" t="s">
        <v>831</v>
      </c>
      <c r="L168" s="34">
        <v>9</v>
      </c>
      <c r="M168" s="34">
        <v>5</v>
      </c>
      <c r="N168" s="34">
        <f t="shared" ref="N168:N174" si="44">L168*M168</f>
        <v>45</v>
      </c>
      <c r="P168" s="33" t="s">
        <v>831</v>
      </c>
      <c r="Q168" s="34">
        <v>9</v>
      </c>
      <c r="R168" s="34">
        <v>5</v>
      </c>
      <c r="S168" s="34">
        <f t="shared" ref="S168:S174" si="45">Q168*R168</f>
        <v>45</v>
      </c>
    </row>
    <row r="169" spans="1:19" x14ac:dyDescent="0.3">
      <c r="A169" s="33" t="s">
        <v>832</v>
      </c>
      <c r="B169" s="34">
        <v>9</v>
      </c>
      <c r="C169" s="34">
        <v>5</v>
      </c>
      <c r="D169" s="34">
        <f t="shared" si="42"/>
        <v>45</v>
      </c>
      <c r="F169" s="33" t="s">
        <v>832</v>
      </c>
      <c r="G169" s="34">
        <v>9</v>
      </c>
      <c r="H169" s="34">
        <v>5</v>
      </c>
      <c r="I169" s="34">
        <f t="shared" si="43"/>
        <v>45</v>
      </c>
      <c r="K169" s="33" t="s">
        <v>832</v>
      </c>
      <c r="L169" s="34">
        <v>9</v>
      </c>
      <c r="M169" s="34">
        <v>5</v>
      </c>
      <c r="N169" s="34">
        <f t="shared" si="44"/>
        <v>45</v>
      </c>
      <c r="P169" s="33" t="s">
        <v>832</v>
      </c>
      <c r="Q169" s="34">
        <v>9</v>
      </c>
      <c r="R169" s="34">
        <v>5</v>
      </c>
      <c r="S169" s="34">
        <f t="shared" si="45"/>
        <v>45</v>
      </c>
    </row>
    <row r="170" spans="1:19" x14ac:dyDescent="0.3">
      <c r="A170" s="33" t="s">
        <v>833</v>
      </c>
      <c r="B170" s="34">
        <v>9</v>
      </c>
      <c r="C170" s="34">
        <v>5</v>
      </c>
      <c r="D170" s="34">
        <f t="shared" si="42"/>
        <v>45</v>
      </c>
      <c r="F170" s="33" t="s">
        <v>833</v>
      </c>
      <c r="G170" s="34">
        <v>9</v>
      </c>
      <c r="H170" s="34">
        <v>5</v>
      </c>
      <c r="I170" s="34">
        <f t="shared" si="43"/>
        <v>45</v>
      </c>
      <c r="K170" s="33" t="s">
        <v>833</v>
      </c>
      <c r="L170" s="34">
        <v>9</v>
      </c>
      <c r="M170" s="34">
        <v>5</v>
      </c>
      <c r="N170" s="34">
        <f t="shared" si="44"/>
        <v>45</v>
      </c>
      <c r="P170" s="33" t="s">
        <v>833</v>
      </c>
      <c r="Q170" s="34">
        <v>9</v>
      </c>
      <c r="R170" s="34">
        <v>5</v>
      </c>
      <c r="S170" s="34">
        <f t="shared" si="45"/>
        <v>45</v>
      </c>
    </row>
    <row r="171" spans="1:19" x14ac:dyDescent="0.3">
      <c r="A171" s="33" t="s">
        <v>834</v>
      </c>
      <c r="B171" s="34">
        <v>9</v>
      </c>
      <c r="C171" s="34">
        <v>4</v>
      </c>
      <c r="D171" s="34">
        <f t="shared" si="42"/>
        <v>36</v>
      </c>
      <c r="F171" s="33" t="s">
        <v>834</v>
      </c>
      <c r="G171" s="34">
        <v>9</v>
      </c>
      <c r="H171" s="34">
        <v>4</v>
      </c>
      <c r="I171" s="34">
        <f t="shared" si="43"/>
        <v>36</v>
      </c>
      <c r="K171" s="33" t="s">
        <v>834</v>
      </c>
      <c r="L171" s="34">
        <v>9</v>
      </c>
      <c r="M171" s="34">
        <v>4</v>
      </c>
      <c r="N171" s="34">
        <f t="shared" si="44"/>
        <v>36</v>
      </c>
      <c r="P171" s="33" t="s">
        <v>834</v>
      </c>
      <c r="Q171" s="34">
        <v>9</v>
      </c>
      <c r="R171" s="34">
        <v>4</v>
      </c>
      <c r="S171" s="34">
        <f t="shared" si="45"/>
        <v>36</v>
      </c>
    </row>
    <row r="172" spans="1:19" x14ac:dyDescent="0.3">
      <c r="A172" s="33" t="s">
        <v>835</v>
      </c>
      <c r="B172" s="34">
        <v>9</v>
      </c>
      <c r="C172" s="34">
        <v>5</v>
      </c>
      <c r="D172" s="34">
        <f t="shared" si="42"/>
        <v>45</v>
      </c>
      <c r="F172" s="33" t="s">
        <v>835</v>
      </c>
      <c r="G172" s="34">
        <v>9</v>
      </c>
      <c r="H172" s="34">
        <v>5</v>
      </c>
      <c r="I172" s="34">
        <f t="shared" si="43"/>
        <v>45</v>
      </c>
      <c r="K172" s="33" t="s">
        <v>835</v>
      </c>
      <c r="L172" s="34">
        <v>9</v>
      </c>
      <c r="M172" s="34">
        <v>5</v>
      </c>
      <c r="N172" s="34">
        <f t="shared" si="44"/>
        <v>45</v>
      </c>
      <c r="P172" s="33" t="s">
        <v>835</v>
      </c>
      <c r="Q172" s="34">
        <v>9</v>
      </c>
      <c r="R172" s="34">
        <v>5</v>
      </c>
      <c r="S172" s="34">
        <f t="shared" si="45"/>
        <v>45</v>
      </c>
    </row>
    <row r="173" spans="1:19" x14ac:dyDescent="0.3">
      <c r="A173" s="33" t="s">
        <v>849</v>
      </c>
      <c r="B173" s="34">
        <v>8.1999999999999993</v>
      </c>
      <c r="C173" s="34">
        <v>5</v>
      </c>
      <c r="D173" s="34">
        <f t="shared" si="42"/>
        <v>41</v>
      </c>
      <c r="F173" s="33" t="s">
        <v>849</v>
      </c>
      <c r="G173" s="34">
        <v>8.1999999999999993</v>
      </c>
      <c r="H173" s="34">
        <v>5</v>
      </c>
      <c r="I173" s="34">
        <f t="shared" si="43"/>
        <v>41</v>
      </c>
      <c r="K173" s="33" t="s">
        <v>849</v>
      </c>
      <c r="L173" s="34">
        <v>8.1999999999999993</v>
      </c>
      <c r="M173" s="34">
        <v>5</v>
      </c>
      <c r="N173" s="34">
        <f t="shared" si="44"/>
        <v>41</v>
      </c>
      <c r="P173" s="33" t="s">
        <v>849</v>
      </c>
      <c r="Q173" s="34">
        <v>8.1999999999999993</v>
      </c>
      <c r="R173" s="34">
        <v>5</v>
      </c>
      <c r="S173" s="34">
        <f t="shared" si="45"/>
        <v>41</v>
      </c>
    </row>
    <row r="174" spans="1:19" x14ac:dyDescent="0.3">
      <c r="A174" s="33"/>
      <c r="B174" s="34"/>
      <c r="C174" s="34"/>
      <c r="D174" s="34">
        <f t="shared" si="42"/>
        <v>0</v>
      </c>
      <c r="F174" s="33"/>
      <c r="G174" s="34"/>
      <c r="H174" s="34"/>
      <c r="I174" s="34">
        <f t="shared" si="43"/>
        <v>0</v>
      </c>
      <c r="K174" s="33"/>
      <c r="L174" s="34"/>
      <c r="M174" s="34"/>
      <c r="N174" s="34">
        <f t="shared" si="44"/>
        <v>0</v>
      </c>
      <c r="P174" s="33"/>
      <c r="Q174" s="34"/>
      <c r="R174" s="34"/>
      <c r="S174" s="34">
        <f t="shared" si="45"/>
        <v>0</v>
      </c>
    </row>
    <row r="175" spans="1:19" x14ac:dyDescent="0.3">
      <c r="A175" s="102" t="s">
        <v>836</v>
      </c>
      <c r="B175" s="102"/>
      <c r="C175" s="102"/>
      <c r="D175" s="34">
        <f>SUM(D168:D174)</f>
        <v>257</v>
      </c>
      <c r="F175" s="102" t="s">
        <v>836</v>
      </c>
      <c r="G175" s="102"/>
      <c r="H175" s="102"/>
      <c r="I175" s="34">
        <f>SUM(I168:I174)</f>
        <v>257</v>
      </c>
      <c r="K175" s="102" t="s">
        <v>836</v>
      </c>
      <c r="L175" s="102"/>
      <c r="M175" s="102"/>
      <c r="N175" s="34">
        <f>SUM(N168:N174)</f>
        <v>257</v>
      </c>
      <c r="P175" s="102" t="s">
        <v>836</v>
      </c>
      <c r="Q175" s="102"/>
      <c r="R175" s="102"/>
      <c r="S175" s="34">
        <f>SUM(S168:S174)</f>
        <v>257</v>
      </c>
    </row>
    <row r="176" spans="1:19" x14ac:dyDescent="0.3">
      <c r="A176" s="102" t="s">
        <v>837</v>
      </c>
      <c r="B176" s="102"/>
      <c r="C176" s="102"/>
      <c r="D176" s="44">
        <v>0.75</v>
      </c>
      <c r="F176" s="102" t="s">
        <v>837</v>
      </c>
      <c r="G176" s="102"/>
      <c r="H176" s="102"/>
      <c r="I176" s="44">
        <v>0.75</v>
      </c>
      <c r="K176" s="102" t="s">
        <v>837</v>
      </c>
      <c r="L176" s="102"/>
      <c r="M176" s="102"/>
      <c r="N176" s="44">
        <v>0.75</v>
      </c>
      <c r="P176" s="102" t="s">
        <v>837</v>
      </c>
      <c r="Q176" s="102"/>
      <c r="R176" s="102"/>
      <c r="S176" s="44">
        <v>0.75</v>
      </c>
    </row>
    <row r="177" spans="1:19" x14ac:dyDescent="0.3">
      <c r="A177" s="102" t="s">
        <v>838</v>
      </c>
      <c r="B177" s="102"/>
      <c r="C177" s="102"/>
      <c r="D177" s="34">
        <f>(D175*D176)</f>
        <v>192.75</v>
      </c>
      <c r="F177" s="102" t="s">
        <v>838</v>
      </c>
      <c r="G177" s="102"/>
      <c r="H177" s="102"/>
      <c r="I177" s="34">
        <f>(I175*I176)</f>
        <v>192.75</v>
      </c>
      <c r="K177" s="102" t="s">
        <v>838</v>
      </c>
      <c r="L177" s="102"/>
      <c r="M177" s="102"/>
      <c r="N177" s="34">
        <f>(N175*N176)</f>
        <v>192.75</v>
      </c>
      <c r="P177" s="102" t="s">
        <v>838</v>
      </c>
      <c r="Q177" s="102"/>
      <c r="R177" s="102"/>
      <c r="S177" s="34">
        <f>(S175*S176)</f>
        <v>192.75</v>
      </c>
    </row>
    <row r="178" spans="1:19" x14ac:dyDescent="0.3">
      <c r="A178" s="102" t="s">
        <v>839</v>
      </c>
      <c r="B178" s="102"/>
      <c r="C178" s="102"/>
      <c r="D178" s="45">
        <f>D177/5</f>
        <v>38.549999999999997</v>
      </c>
      <c r="F178" s="102" t="s">
        <v>839</v>
      </c>
      <c r="G178" s="102"/>
      <c r="H178" s="102"/>
      <c r="I178" s="45">
        <f>I177/5</f>
        <v>38.549999999999997</v>
      </c>
      <c r="K178" s="102" t="s">
        <v>839</v>
      </c>
      <c r="L178" s="102"/>
      <c r="M178" s="102"/>
      <c r="N178" s="45">
        <f>N177/5</f>
        <v>38.549999999999997</v>
      </c>
      <c r="P178" s="102" t="s">
        <v>839</v>
      </c>
      <c r="Q178" s="102"/>
      <c r="R178" s="102"/>
      <c r="S178" s="45">
        <f>S177/5</f>
        <v>38.549999999999997</v>
      </c>
    </row>
    <row r="181" spans="1:19" x14ac:dyDescent="0.3">
      <c r="A181" s="67" t="s">
        <v>891</v>
      </c>
      <c r="F181" s="67" t="s">
        <v>892</v>
      </c>
      <c r="G181" s="35"/>
      <c r="H181" s="35"/>
      <c r="I181" s="35"/>
      <c r="K181" s="67" t="s">
        <v>893</v>
      </c>
      <c r="L181" s="35"/>
      <c r="M181" s="35"/>
      <c r="N181" s="35"/>
      <c r="P181" s="67"/>
      <c r="Q181" s="35"/>
      <c r="R181" s="35"/>
      <c r="S181" s="35"/>
    </row>
    <row r="182" spans="1:19" x14ac:dyDescent="0.3">
      <c r="A182" s="36" t="s">
        <v>827</v>
      </c>
      <c r="B182" s="37" t="s">
        <v>828</v>
      </c>
      <c r="C182" s="37" t="s">
        <v>829</v>
      </c>
      <c r="D182" s="37" t="s">
        <v>830</v>
      </c>
      <c r="F182" s="36" t="s">
        <v>827</v>
      </c>
      <c r="G182" s="37" t="s">
        <v>828</v>
      </c>
      <c r="H182" s="37" t="s">
        <v>829</v>
      </c>
      <c r="I182" s="37" t="s">
        <v>830</v>
      </c>
      <c r="K182" s="36" t="s">
        <v>827</v>
      </c>
      <c r="L182" s="37" t="s">
        <v>828</v>
      </c>
      <c r="M182" s="37" t="s">
        <v>829</v>
      </c>
      <c r="N182" s="37" t="s">
        <v>830</v>
      </c>
      <c r="P182" s="36"/>
      <c r="Q182" s="37"/>
      <c r="R182" s="37"/>
      <c r="S182" s="37"/>
    </row>
    <row r="183" spans="1:19" x14ac:dyDescent="0.3">
      <c r="A183" s="33" t="s">
        <v>831</v>
      </c>
      <c r="B183" s="34">
        <v>9</v>
      </c>
      <c r="C183" s="34">
        <v>5</v>
      </c>
      <c r="D183" s="34">
        <f t="shared" ref="D183:D189" si="46">B183*C183</f>
        <v>45</v>
      </c>
      <c r="F183" s="33" t="s">
        <v>831</v>
      </c>
      <c r="G183" s="34">
        <v>9</v>
      </c>
      <c r="H183" s="34">
        <v>5</v>
      </c>
      <c r="I183" s="34">
        <f t="shared" ref="I183:I189" si="47">G183*H183</f>
        <v>45</v>
      </c>
      <c r="K183" s="33" t="s">
        <v>831</v>
      </c>
      <c r="L183" s="34">
        <v>9</v>
      </c>
      <c r="M183" s="34">
        <v>5</v>
      </c>
      <c r="N183" s="34">
        <f t="shared" ref="N183:N189" si="48">L183*M183</f>
        <v>45</v>
      </c>
      <c r="P183" s="33"/>
      <c r="Q183" s="34"/>
      <c r="R183" s="34"/>
      <c r="S183" s="34"/>
    </row>
    <row r="184" spans="1:19" x14ac:dyDescent="0.3">
      <c r="A184" s="33" t="s">
        <v>832</v>
      </c>
      <c r="B184" s="34">
        <v>9</v>
      </c>
      <c r="C184" s="34">
        <v>5</v>
      </c>
      <c r="D184" s="34">
        <f t="shared" si="46"/>
        <v>45</v>
      </c>
      <c r="F184" s="33" t="s">
        <v>832</v>
      </c>
      <c r="G184" s="34">
        <v>9</v>
      </c>
      <c r="H184" s="34">
        <v>5</v>
      </c>
      <c r="I184" s="34">
        <f t="shared" si="47"/>
        <v>45</v>
      </c>
      <c r="K184" s="33" t="s">
        <v>832</v>
      </c>
      <c r="L184" s="34">
        <v>9</v>
      </c>
      <c r="M184" s="34">
        <v>5</v>
      </c>
      <c r="N184" s="34">
        <f t="shared" si="48"/>
        <v>45</v>
      </c>
      <c r="P184" s="33"/>
      <c r="Q184" s="34"/>
      <c r="R184" s="34"/>
      <c r="S184" s="34"/>
    </row>
    <row r="185" spans="1:19" x14ac:dyDescent="0.3">
      <c r="A185" s="33" t="s">
        <v>833</v>
      </c>
      <c r="B185" s="34">
        <v>9</v>
      </c>
      <c r="C185" s="34">
        <v>5</v>
      </c>
      <c r="D185" s="34">
        <f t="shared" si="46"/>
        <v>45</v>
      </c>
      <c r="F185" s="33" t="s">
        <v>833</v>
      </c>
      <c r="G185" s="34">
        <v>9</v>
      </c>
      <c r="H185" s="34">
        <v>5</v>
      </c>
      <c r="I185" s="34">
        <f t="shared" si="47"/>
        <v>45</v>
      </c>
      <c r="K185" s="33" t="s">
        <v>833</v>
      </c>
      <c r="L185" s="34">
        <v>9</v>
      </c>
      <c r="M185" s="34">
        <v>5</v>
      </c>
      <c r="N185" s="34">
        <f t="shared" si="48"/>
        <v>45</v>
      </c>
      <c r="P185" s="33"/>
      <c r="Q185" s="34"/>
      <c r="R185" s="34"/>
      <c r="S185" s="34"/>
    </row>
    <row r="186" spans="1:19" x14ac:dyDescent="0.3">
      <c r="A186" s="33" t="s">
        <v>834</v>
      </c>
      <c r="B186" s="34">
        <v>9</v>
      </c>
      <c r="C186" s="34">
        <v>4</v>
      </c>
      <c r="D186" s="34">
        <f t="shared" si="46"/>
        <v>36</v>
      </c>
      <c r="F186" s="33" t="s">
        <v>834</v>
      </c>
      <c r="G186" s="34">
        <v>9</v>
      </c>
      <c r="H186" s="34">
        <v>4</v>
      </c>
      <c r="I186" s="34">
        <f t="shared" si="47"/>
        <v>36</v>
      </c>
      <c r="K186" s="33" t="s">
        <v>834</v>
      </c>
      <c r="L186" s="34">
        <v>9</v>
      </c>
      <c r="M186" s="34">
        <v>4</v>
      </c>
      <c r="N186" s="34">
        <f t="shared" si="48"/>
        <v>36</v>
      </c>
      <c r="P186" s="33"/>
      <c r="Q186" s="34"/>
      <c r="R186" s="34"/>
      <c r="S186" s="34"/>
    </row>
    <row r="187" spans="1:19" x14ac:dyDescent="0.3">
      <c r="A187" s="33" t="s">
        <v>835</v>
      </c>
      <c r="B187" s="34">
        <v>9</v>
      </c>
      <c r="C187" s="34">
        <v>5</v>
      </c>
      <c r="D187" s="34">
        <f t="shared" si="46"/>
        <v>45</v>
      </c>
      <c r="F187" s="33" t="s">
        <v>835</v>
      </c>
      <c r="G187" s="34">
        <v>9</v>
      </c>
      <c r="H187" s="34">
        <v>5</v>
      </c>
      <c r="I187" s="34">
        <f t="shared" si="47"/>
        <v>45</v>
      </c>
      <c r="K187" s="33" t="s">
        <v>835</v>
      </c>
      <c r="L187" s="34">
        <v>9</v>
      </c>
      <c r="M187" s="34">
        <v>5</v>
      </c>
      <c r="N187" s="34">
        <f t="shared" si="48"/>
        <v>45</v>
      </c>
      <c r="P187" s="33"/>
      <c r="Q187" s="34"/>
      <c r="R187" s="34"/>
      <c r="S187" s="34"/>
    </row>
    <row r="188" spans="1:19" x14ac:dyDescent="0.3">
      <c r="A188" s="33" t="s">
        <v>849</v>
      </c>
      <c r="B188" s="34">
        <v>8.1999999999999993</v>
      </c>
      <c r="C188" s="34">
        <v>5</v>
      </c>
      <c r="D188" s="34">
        <f t="shared" si="46"/>
        <v>41</v>
      </c>
      <c r="F188" s="33" t="s">
        <v>849</v>
      </c>
      <c r="G188" s="34">
        <v>8.1999999999999993</v>
      </c>
      <c r="H188" s="34">
        <v>5</v>
      </c>
      <c r="I188" s="34">
        <f t="shared" si="47"/>
        <v>41</v>
      </c>
      <c r="K188" s="33" t="s">
        <v>849</v>
      </c>
      <c r="L188" s="34">
        <v>8.1999999999999993</v>
      </c>
      <c r="M188" s="34">
        <v>5</v>
      </c>
      <c r="N188" s="34">
        <f t="shared" si="48"/>
        <v>41</v>
      </c>
      <c r="P188" s="33"/>
      <c r="Q188" s="34"/>
      <c r="R188" s="34"/>
      <c r="S188" s="34"/>
    </row>
    <row r="189" spans="1:19" x14ac:dyDescent="0.3">
      <c r="A189" s="33"/>
      <c r="B189" s="34"/>
      <c r="C189" s="34"/>
      <c r="D189" s="34">
        <f t="shared" si="46"/>
        <v>0</v>
      </c>
      <c r="F189" s="33"/>
      <c r="G189" s="34"/>
      <c r="H189" s="34"/>
      <c r="I189" s="34">
        <f t="shared" si="47"/>
        <v>0</v>
      </c>
      <c r="K189" s="33"/>
      <c r="L189" s="34"/>
      <c r="M189" s="34"/>
      <c r="N189" s="34">
        <f t="shared" si="48"/>
        <v>0</v>
      </c>
      <c r="P189" s="33"/>
      <c r="Q189" s="34"/>
      <c r="R189" s="34"/>
      <c r="S189" s="34"/>
    </row>
    <row r="190" spans="1:19" x14ac:dyDescent="0.3">
      <c r="A190" s="102" t="s">
        <v>836</v>
      </c>
      <c r="B190" s="102"/>
      <c r="C190" s="102"/>
      <c r="D190" s="34">
        <f>SUM(D183:D189)</f>
        <v>257</v>
      </c>
      <c r="F190" s="102" t="s">
        <v>836</v>
      </c>
      <c r="G190" s="102"/>
      <c r="H190" s="102"/>
      <c r="I190" s="34">
        <f>SUM(I183:I189)</f>
        <v>257</v>
      </c>
      <c r="K190" s="102" t="s">
        <v>836</v>
      </c>
      <c r="L190" s="102"/>
      <c r="M190" s="102"/>
      <c r="N190" s="34">
        <f>SUM(N183:N189)</f>
        <v>257</v>
      </c>
      <c r="P190" s="102"/>
      <c r="Q190" s="102"/>
      <c r="R190" s="102"/>
      <c r="S190" s="34"/>
    </row>
    <row r="191" spans="1:19" x14ac:dyDescent="0.3">
      <c r="A191" s="102" t="s">
        <v>837</v>
      </c>
      <c r="B191" s="102"/>
      <c r="C191" s="102"/>
      <c r="D191" s="44">
        <v>0.75</v>
      </c>
      <c r="F191" s="102" t="s">
        <v>837</v>
      </c>
      <c r="G191" s="102"/>
      <c r="H191" s="102"/>
      <c r="I191" s="44">
        <v>0.75</v>
      </c>
      <c r="K191" s="102" t="s">
        <v>837</v>
      </c>
      <c r="L191" s="102"/>
      <c r="M191" s="102"/>
      <c r="N191" s="44">
        <v>0.75</v>
      </c>
      <c r="P191" s="102"/>
      <c r="Q191" s="102"/>
      <c r="R191" s="102"/>
      <c r="S191" s="44"/>
    </row>
    <row r="192" spans="1:19" x14ac:dyDescent="0.3">
      <c r="A192" s="102" t="s">
        <v>838</v>
      </c>
      <c r="B192" s="102"/>
      <c r="C192" s="102"/>
      <c r="D192" s="34">
        <f>(D190*D191)</f>
        <v>192.75</v>
      </c>
      <c r="F192" s="102" t="s">
        <v>838</v>
      </c>
      <c r="G192" s="102"/>
      <c r="H192" s="102"/>
      <c r="I192" s="34">
        <f>(I190*I191)</f>
        <v>192.75</v>
      </c>
      <c r="K192" s="102" t="s">
        <v>838</v>
      </c>
      <c r="L192" s="102"/>
      <c r="M192" s="102"/>
      <c r="N192" s="34">
        <f>(N190*N191)</f>
        <v>192.75</v>
      </c>
      <c r="P192" s="102"/>
      <c r="Q192" s="102"/>
      <c r="R192" s="102"/>
      <c r="S192" s="34"/>
    </row>
    <row r="193" spans="1:19" x14ac:dyDescent="0.3">
      <c r="A193" s="102" t="s">
        <v>839</v>
      </c>
      <c r="B193" s="102"/>
      <c r="C193" s="102"/>
      <c r="D193" s="45">
        <f>D192/5</f>
        <v>38.549999999999997</v>
      </c>
      <c r="F193" s="102" t="s">
        <v>839</v>
      </c>
      <c r="G193" s="102"/>
      <c r="H193" s="102"/>
      <c r="I193" s="45">
        <f>I192/5</f>
        <v>38.549999999999997</v>
      </c>
      <c r="K193" s="102" t="s">
        <v>839</v>
      </c>
      <c r="L193" s="102"/>
      <c r="M193" s="102"/>
      <c r="N193" s="45">
        <f>N192/5</f>
        <v>38.549999999999997</v>
      </c>
      <c r="P193" s="102"/>
      <c r="Q193" s="102"/>
      <c r="R193" s="102"/>
      <c r="S193" s="45"/>
    </row>
  </sheetData>
  <mergeCells count="199">
    <mergeCell ref="A191:C191"/>
    <mergeCell ref="F191:H191"/>
    <mergeCell ref="K191:M191"/>
    <mergeCell ref="P191:R191"/>
    <mergeCell ref="A192:C192"/>
    <mergeCell ref="F192:H192"/>
    <mergeCell ref="K192:M192"/>
    <mergeCell ref="P192:R192"/>
    <mergeCell ref="A193:C193"/>
    <mergeCell ref="F193:H193"/>
    <mergeCell ref="K193:M193"/>
    <mergeCell ref="P193:R193"/>
    <mergeCell ref="A177:C177"/>
    <mergeCell ref="F177:H177"/>
    <mergeCell ref="K177:M177"/>
    <mergeCell ref="P177:R177"/>
    <mergeCell ref="A178:C178"/>
    <mergeCell ref="F178:H178"/>
    <mergeCell ref="K178:M178"/>
    <mergeCell ref="P178:R178"/>
    <mergeCell ref="A190:C190"/>
    <mergeCell ref="F190:H190"/>
    <mergeCell ref="K190:M190"/>
    <mergeCell ref="P190:R190"/>
    <mergeCell ref="A163:C163"/>
    <mergeCell ref="F163:H163"/>
    <mergeCell ref="K163:M163"/>
    <mergeCell ref="P163:R163"/>
    <mergeCell ref="A175:C175"/>
    <mergeCell ref="F175:H175"/>
    <mergeCell ref="K175:M175"/>
    <mergeCell ref="P175:R175"/>
    <mergeCell ref="A176:C176"/>
    <mergeCell ref="F176:H176"/>
    <mergeCell ref="K176:M176"/>
    <mergeCell ref="P176:R176"/>
    <mergeCell ref="A160:C160"/>
    <mergeCell ref="F160:H160"/>
    <mergeCell ref="K160:M160"/>
    <mergeCell ref="P160:R160"/>
    <mergeCell ref="A161:C161"/>
    <mergeCell ref="F161:H161"/>
    <mergeCell ref="K161:M161"/>
    <mergeCell ref="P161:R161"/>
    <mergeCell ref="A162:C162"/>
    <mergeCell ref="F162:H162"/>
    <mergeCell ref="K162:M162"/>
    <mergeCell ref="P162:R162"/>
    <mergeCell ref="U115:W115"/>
    <mergeCell ref="U116:W116"/>
    <mergeCell ref="U117:W117"/>
    <mergeCell ref="U118:W118"/>
    <mergeCell ref="U85:W85"/>
    <mergeCell ref="U86:W86"/>
    <mergeCell ref="U87:W87"/>
    <mergeCell ref="U88:W88"/>
    <mergeCell ref="A87:C87"/>
    <mergeCell ref="F87:H87"/>
    <mergeCell ref="K87:M87"/>
    <mergeCell ref="P87:R87"/>
    <mergeCell ref="A88:C88"/>
    <mergeCell ref="F88:H88"/>
    <mergeCell ref="K88:M88"/>
    <mergeCell ref="P88:R88"/>
    <mergeCell ref="A85:C85"/>
    <mergeCell ref="F85:H85"/>
    <mergeCell ref="K85:M85"/>
    <mergeCell ref="P85:R85"/>
    <mergeCell ref="A102:C102"/>
    <mergeCell ref="F102:H102"/>
    <mergeCell ref="K102:M102"/>
    <mergeCell ref="P102:R102"/>
    <mergeCell ref="A71:C71"/>
    <mergeCell ref="F71:H71"/>
    <mergeCell ref="K71:M71"/>
    <mergeCell ref="P71:R71"/>
    <mergeCell ref="A86:C86"/>
    <mergeCell ref="F86:H86"/>
    <mergeCell ref="K86:M86"/>
    <mergeCell ref="P86:R86"/>
    <mergeCell ref="A72:C72"/>
    <mergeCell ref="F72:H72"/>
    <mergeCell ref="K72:M72"/>
    <mergeCell ref="P72:R72"/>
    <mergeCell ref="A73:C73"/>
    <mergeCell ref="F73:H73"/>
    <mergeCell ref="K73:M73"/>
    <mergeCell ref="P73:R73"/>
    <mergeCell ref="K56:M56"/>
    <mergeCell ref="K57:M57"/>
    <mergeCell ref="K58:M58"/>
    <mergeCell ref="P55:R55"/>
    <mergeCell ref="P56:R56"/>
    <mergeCell ref="P57:R57"/>
    <mergeCell ref="P58:R58"/>
    <mergeCell ref="A70:C70"/>
    <mergeCell ref="F70:H70"/>
    <mergeCell ref="K70:M70"/>
    <mergeCell ref="P70:R70"/>
    <mergeCell ref="A58:C58"/>
    <mergeCell ref="F55:H55"/>
    <mergeCell ref="F56:H56"/>
    <mergeCell ref="F57:H57"/>
    <mergeCell ref="F58:H58"/>
    <mergeCell ref="A55:C55"/>
    <mergeCell ref="A56:C56"/>
    <mergeCell ref="A57:C57"/>
    <mergeCell ref="P40:R40"/>
    <mergeCell ref="P41:R41"/>
    <mergeCell ref="P42:R42"/>
    <mergeCell ref="P43:R43"/>
    <mergeCell ref="K40:M40"/>
    <mergeCell ref="K41:M41"/>
    <mergeCell ref="K42:M42"/>
    <mergeCell ref="K43:M43"/>
    <mergeCell ref="K55:M55"/>
    <mergeCell ref="A1:D1"/>
    <mergeCell ref="A2:D2"/>
    <mergeCell ref="A10:C10"/>
    <mergeCell ref="A11:C11"/>
    <mergeCell ref="A12:C12"/>
    <mergeCell ref="F28:H28"/>
    <mergeCell ref="A43:C43"/>
    <mergeCell ref="A40:C40"/>
    <mergeCell ref="F41:H41"/>
    <mergeCell ref="A41:C41"/>
    <mergeCell ref="F42:H42"/>
    <mergeCell ref="A42:C42"/>
    <mergeCell ref="F43:H43"/>
    <mergeCell ref="F40:H40"/>
    <mergeCell ref="A13:C13"/>
    <mergeCell ref="A25:C25"/>
    <mergeCell ref="A26:C26"/>
    <mergeCell ref="A27:C27"/>
    <mergeCell ref="A28:C28"/>
    <mergeCell ref="A103:C103"/>
    <mergeCell ref="F103:H103"/>
    <mergeCell ref="K103:M103"/>
    <mergeCell ref="P103:R103"/>
    <mergeCell ref="A100:C100"/>
    <mergeCell ref="F100:H100"/>
    <mergeCell ref="K100:M100"/>
    <mergeCell ref="P100:R100"/>
    <mergeCell ref="A101:C101"/>
    <mergeCell ref="F101:H101"/>
    <mergeCell ref="K101:M101"/>
    <mergeCell ref="P101:R101"/>
    <mergeCell ref="A117:C117"/>
    <mergeCell ref="F117:H117"/>
    <mergeCell ref="K117:M117"/>
    <mergeCell ref="P117:R117"/>
    <mergeCell ref="A118:C118"/>
    <mergeCell ref="F118:H118"/>
    <mergeCell ref="K118:M118"/>
    <mergeCell ref="P118:R118"/>
    <mergeCell ref="A115:C115"/>
    <mergeCell ref="F115:H115"/>
    <mergeCell ref="K115:M115"/>
    <mergeCell ref="P115:R115"/>
    <mergeCell ref="A116:C116"/>
    <mergeCell ref="F116:H116"/>
    <mergeCell ref="K116:M116"/>
    <mergeCell ref="P116:R116"/>
    <mergeCell ref="A133:C133"/>
    <mergeCell ref="F133:H133"/>
    <mergeCell ref="K133:M133"/>
    <mergeCell ref="P133:R133"/>
    <mergeCell ref="A130:C130"/>
    <mergeCell ref="F130:H130"/>
    <mergeCell ref="K130:M130"/>
    <mergeCell ref="P130:R130"/>
    <mergeCell ref="A131:C131"/>
    <mergeCell ref="F131:H131"/>
    <mergeCell ref="K131:M131"/>
    <mergeCell ref="P131:R131"/>
    <mergeCell ref="A132:C132"/>
    <mergeCell ref="F132:H132"/>
    <mergeCell ref="K132:M132"/>
    <mergeCell ref="P132:R132"/>
    <mergeCell ref="P145:R145"/>
    <mergeCell ref="P146:R146"/>
    <mergeCell ref="P147:R147"/>
    <mergeCell ref="P148:R148"/>
    <mergeCell ref="U145:W145"/>
    <mergeCell ref="U146:W146"/>
    <mergeCell ref="U147:W147"/>
    <mergeCell ref="U148:W148"/>
    <mergeCell ref="A145:C145"/>
    <mergeCell ref="A146:C146"/>
    <mergeCell ref="A147:C147"/>
    <mergeCell ref="A148:C148"/>
    <mergeCell ref="F145:H145"/>
    <mergeCell ref="F146:H146"/>
    <mergeCell ref="F147:H147"/>
    <mergeCell ref="F148:H148"/>
    <mergeCell ref="K145:M145"/>
    <mergeCell ref="K146:M146"/>
    <mergeCell ref="K147:M147"/>
    <mergeCell ref="K148:M1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54400-1678-4cf2-8424-bb450733cca9">
      <Terms xmlns="http://schemas.microsoft.com/office/infopath/2007/PartnerControls"/>
    </lcf76f155ced4ddcb4097134ff3c332f>
    <TaxCatchAll xmlns="49454f7d-4b5c-414c-9dda-51e2a4bab2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FA3ECBD1204F42AF251B11DECE3AEB" ma:contentTypeVersion="13" ma:contentTypeDescription="Create a new document." ma:contentTypeScope="" ma:versionID="ea51f93f886111fadc94c8fc724459c0">
  <xsd:schema xmlns:xsd="http://www.w3.org/2001/XMLSchema" xmlns:xs="http://www.w3.org/2001/XMLSchema" xmlns:p="http://schemas.microsoft.com/office/2006/metadata/properties" xmlns:ns2="49454f7d-4b5c-414c-9dda-51e2a4bab2ce" xmlns:ns3="9da54400-1678-4cf2-8424-bb450733cca9" targetNamespace="http://schemas.microsoft.com/office/2006/metadata/properties" ma:root="true" ma:fieldsID="d08f04cab77bfd73de1e362fa9c6af2f" ns2:_="" ns3:_="">
    <xsd:import namespace="49454f7d-4b5c-414c-9dda-51e2a4bab2ce"/>
    <xsd:import namespace="9da54400-1678-4cf2-8424-bb450733cc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54f7d-4b5c-414c-9dda-51e2a4bab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0f8bb65-516d-43f9-9a95-edb508cecef9}" ma:internalName="TaxCatchAll" ma:showField="CatchAllData" ma:web="49454f7d-4b5c-414c-9dda-51e2a4bab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54400-1678-4cf2-8424-bb450733c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ecafcee-2028-4f39-9feb-156cfc93d4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5CF33-5342-4A83-871A-4CE0A07874E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da54400-1678-4cf2-8424-bb450733cca9"/>
    <ds:schemaRef ds:uri="http://schemas.microsoft.com/office/infopath/2007/PartnerControls"/>
    <ds:schemaRef ds:uri="http://purl.org/dc/elements/1.1/"/>
    <ds:schemaRef ds:uri="49454f7d-4b5c-414c-9dda-51e2a4bab2c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AB2D71-4A04-4B66-B9D2-06D3B5D3B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D38743-D6AD-406B-B7D0-DFE0EEB458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54f7d-4b5c-414c-9dda-51e2a4bab2ce"/>
    <ds:schemaRef ds:uri="9da54400-1678-4cf2-8424-bb450733cc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Schedule Graph</vt:lpstr>
      <vt:lpstr>Factory 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Hudson Beetham</dc:creator>
  <cp:keywords/>
  <dc:description/>
  <cp:lastModifiedBy>Jacob Beetham</cp:lastModifiedBy>
  <cp:revision/>
  <dcterms:created xsi:type="dcterms:W3CDTF">2023-01-23T19:22:23Z</dcterms:created>
  <dcterms:modified xsi:type="dcterms:W3CDTF">2025-11-03T20:02:13Z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0x010100BAFA3ECBD1204F42AF251B11DECE3AEB</vt:lpwstr>
  </property>
  <property fmtid="{D5CDD505-2E9C-101B-9397-08002B2CF9AE}" pid="3" name="MediaServiceImageTags">
    <vt:lpwstr/>
  </property>
</Properties>
</file>