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actory\CNC Machine\"/>
    </mc:Choice>
  </mc:AlternateContent>
  <xr:revisionPtr revIDLastSave="0" documentId="13_ncr:1_{52442982-37C5-447D-A25E-78AAB241A187}" xr6:coauthVersionLast="47" xr6:coauthVersionMax="47" xr10:uidLastSave="{00000000-0000-0000-0000-000000000000}"/>
  <bookViews>
    <workbookView xWindow="-110" yWindow="-110" windowWidth="22780" windowHeight="14540" xr2:uid="{C7CE46CE-172F-4C3B-85E2-1473CF22C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10" i="1"/>
  <c r="B11" i="1" s="1"/>
  <c r="B12" i="1" s="1"/>
  <c r="D24" i="1"/>
  <c r="E17" i="1"/>
  <c r="E18" i="1"/>
  <c r="E19" i="1"/>
  <c r="E20" i="1"/>
  <c r="E21" i="1"/>
  <c r="E22" i="1"/>
  <c r="E23" i="1"/>
  <c r="E24" i="1"/>
  <c r="E16" i="1"/>
  <c r="E3" i="1"/>
  <c r="E4" i="1"/>
  <c r="E5" i="1"/>
  <c r="E6" i="1"/>
  <c r="E7" i="1"/>
  <c r="E8" i="1"/>
  <c r="E2" i="1"/>
  <c r="D23" i="1"/>
  <c r="B27" i="1"/>
  <c r="B28" i="1" s="1"/>
  <c r="D22" i="1"/>
  <c r="D21" i="1"/>
  <c r="D20" i="1"/>
  <c r="D19" i="1"/>
  <c r="D18" i="1"/>
  <c r="D17" i="1"/>
  <c r="D16" i="1"/>
  <c r="D5" i="1"/>
  <c r="D3" i="1"/>
  <c r="D4" i="1"/>
  <c r="D6" i="1"/>
  <c r="D7" i="1"/>
  <c r="D8" i="1"/>
  <c r="D2" i="1"/>
</calcChain>
</file>

<file path=xl/sharedStrings.xml><?xml version="1.0" encoding="utf-8"?>
<sst xmlns="http://schemas.openxmlformats.org/spreadsheetml/2006/main" count="32" uniqueCount="17">
  <si>
    <t>Month</t>
  </si>
  <si>
    <t>Tables</t>
  </si>
  <si>
    <t>Mins running</t>
  </si>
  <si>
    <t>Feb</t>
  </si>
  <si>
    <t>Mar</t>
  </si>
  <si>
    <t>April</t>
  </si>
  <si>
    <t>May</t>
  </si>
  <si>
    <t>June</t>
  </si>
  <si>
    <t>July</t>
  </si>
  <si>
    <t>Aug</t>
  </si>
  <si>
    <t>Average table run</t>
  </si>
  <si>
    <t>Average per month</t>
  </si>
  <si>
    <t>Per week</t>
  </si>
  <si>
    <t>Per Day</t>
  </si>
  <si>
    <t>Sept</t>
  </si>
  <si>
    <t>Oct</t>
  </si>
  <si>
    <t>Average Tables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</si>
</sst>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C3AD-5EBC-4F03-A995-5D3BFD2418EF}">
  <dimension ref="A1:H28"/>
  <sheetViews>
    <sheetView tabSelected="1" workbookViewId="0">
      <selection activeCell="E27" sqref="E27"/>
    </sheetView>
  </sheetViews>
  <sheetFormatPr defaultRowHeight="14.5" x14ac:dyDescent="0.35"/>
  <cols>
    <col min="1" max="1" width="15.90625" bestFit="1" customWidth="1"/>
    <col min="2" max="2" width="8.54296875" customWidth="1"/>
    <col min="3" max="3" width="11.6328125" bestFit="1" customWidth="1"/>
    <col min="4" max="4" width="15.08984375" bestFit="1" customWidth="1"/>
    <col min="5" max="5" width="2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10</v>
      </c>
      <c r="E1" t="s">
        <v>16</v>
      </c>
      <c r="F1" s="3">
        <v>2024</v>
      </c>
    </row>
    <row r="2" spans="1:8" x14ac:dyDescent="0.35">
      <c r="A2" t="s">
        <v>3</v>
      </c>
      <c r="B2">
        <v>355</v>
      </c>
      <c r="C2">
        <v>3736.1</v>
      </c>
      <c r="D2" s="1">
        <f>C2/B2</f>
        <v>10.524225352112676</v>
      </c>
      <c r="E2" s="2">
        <f>B2/21</f>
        <v>16.904761904761905</v>
      </c>
    </row>
    <row r="3" spans="1:8" x14ac:dyDescent="0.35">
      <c r="A3" t="s">
        <v>4</v>
      </c>
      <c r="B3">
        <v>337</v>
      </c>
      <c r="C3">
        <v>3656.7</v>
      </c>
      <c r="D3" s="1">
        <f t="shared" ref="D3:D8" si="0">C3/B3</f>
        <v>10.850741839762611</v>
      </c>
      <c r="E3" s="2">
        <f t="shared" ref="E3:E8" si="1">B3/21</f>
        <v>16.047619047619047</v>
      </c>
    </row>
    <row r="4" spans="1:8" x14ac:dyDescent="0.35">
      <c r="A4" t="s">
        <v>5</v>
      </c>
      <c r="B4">
        <v>491</v>
      </c>
      <c r="C4">
        <v>4837.2</v>
      </c>
      <c r="D4" s="1">
        <f t="shared" si="0"/>
        <v>9.8517311608961293</v>
      </c>
      <c r="E4" s="2">
        <f t="shared" si="1"/>
        <v>23.38095238095238</v>
      </c>
    </row>
    <row r="5" spans="1:8" x14ac:dyDescent="0.35">
      <c r="A5" t="s">
        <v>6</v>
      </c>
      <c r="B5">
        <v>445</v>
      </c>
      <c r="C5">
        <v>5146.2</v>
      </c>
      <c r="D5" s="1">
        <f>C5/B5</f>
        <v>11.564494382022472</v>
      </c>
      <c r="E5" s="2">
        <f t="shared" si="1"/>
        <v>21.19047619047619</v>
      </c>
    </row>
    <row r="6" spans="1:8" x14ac:dyDescent="0.35">
      <c r="A6" t="s">
        <v>7</v>
      </c>
      <c r="B6">
        <v>185</v>
      </c>
      <c r="C6">
        <v>2264.6999999999998</v>
      </c>
      <c r="D6" s="1">
        <f t="shared" si="0"/>
        <v>12.24162162162162</v>
      </c>
      <c r="E6" s="2">
        <f t="shared" si="1"/>
        <v>8.8095238095238102</v>
      </c>
    </row>
    <row r="7" spans="1:8" x14ac:dyDescent="0.35">
      <c r="A7" t="s">
        <v>8</v>
      </c>
      <c r="B7">
        <v>320</v>
      </c>
      <c r="C7">
        <v>3300.9</v>
      </c>
      <c r="D7" s="1">
        <f t="shared" si="0"/>
        <v>10.315312500000001</v>
      </c>
      <c r="E7" s="2">
        <f t="shared" si="1"/>
        <v>15.238095238095237</v>
      </c>
    </row>
    <row r="8" spans="1:8" x14ac:dyDescent="0.35">
      <c r="A8" t="s">
        <v>9</v>
      </c>
      <c r="B8">
        <v>224</v>
      </c>
      <c r="C8">
        <v>2451.1999999999998</v>
      </c>
      <c r="D8" s="1">
        <f t="shared" si="0"/>
        <v>10.942857142857141</v>
      </c>
      <c r="E8" s="2">
        <f t="shared" si="1"/>
        <v>10.666666666666666</v>
      </c>
    </row>
    <row r="10" spans="1:8" x14ac:dyDescent="0.35">
      <c r="A10" t="s">
        <v>11</v>
      </c>
      <c r="B10" s="2">
        <f>SUM(B2:B8)/7</f>
        <v>336.71428571428572</v>
      </c>
    </row>
    <row r="11" spans="1:8" x14ac:dyDescent="0.35">
      <c r="A11" t="s">
        <v>12</v>
      </c>
      <c r="B11" s="2">
        <f>B10/4</f>
        <v>84.178571428571431</v>
      </c>
    </row>
    <row r="12" spans="1:8" x14ac:dyDescent="0.35">
      <c r="A12" t="s">
        <v>13</v>
      </c>
      <c r="B12" s="2">
        <f>B11/5</f>
        <v>16.835714285714285</v>
      </c>
    </row>
    <row r="13" spans="1:8" ht="15" thickBot="1" x14ac:dyDescent="0.4">
      <c r="A13" s="4"/>
      <c r="B13" s="4"/>
      <c r="C13" s="4"/>
      <c r="D13" s="4"/>
      <c r="E13" s="4"/>
      <c r="F13" s="4"/>
      <c r="G13" s="4"/>
      <c r="H13" s="4"/>
    </row>
    <row r="14" spans="1:8" ht="15" thickTop="1" x14ac:dyDescent="0.35"/>
    <row r="15" spans="1:8" x14ac:dyDescent="0.35">
      <c r="A15" t="s">
        <v>0</v>
      </c>
      <c r="B15" t="s">
        <v>1</v>
      </c>
      <c r="C15" t="s">
        <v>2</v>
      </c>
      <c r="D15" t="s">
        <v>10</v>
      </c>
      <c r="E15" t="s">
        <v>16</v>
      </c>
      <c r="F15" s="5">
        <v>2025</v>
      </c>
    </row>
    <row r="16" spans="1:8" x14ac:dyDescent="0.35">
      <c r="A16" t="s">
        <v>3</v>
      </c>
      <c r="B16">
        <v>455</v>
      </c>
      <c r="C16">
        <v>4343</v>
      </c>
      <c r="D16" s="1">
        <f>C16/B16</f>
        <v>9.5450549450549449</v>
      </c>
      <c r="E16" s="2">
        <f>B16/21</f>
        <v>21.666666666666668</v>
      </c>
    </row>
    <row r="17" spans="1:5" x14ac:dyDescent="0.35">
      <c r="A17" t="s">
        <v>4</v>
      </c>
      <c r="B17">
        <v>615</v>
      </c>
      <c r="C17">
        <v>5271</v>
      </c>
      <c r="D17" s="1">
        <f t="shared" ref="D17:D22" si="2">C17/B17</f>
        <v>8.5707317073170728</v>
      </c>
      <c r="E17" s="2">
        <f t="shared" ref="E17:E24" si="3">B17/21</f>
        <v>29.285714285714285</v>
      </c>
    </row>
    <row r="18" spans="1:5" x14ac:dyDescent="0.35">
      <c r="A18" t="s">
        <v>5</v>
      </c>
      <c r="B18">
        <v>336</v>
      </c>
      <c r="C18">
        <v>3517</v>
      </c>
      <c r="D18" s="1">
        <f t="shared" si="2"/>
        <v>10.467261904761905</v>
      </c>
      <c r="E18" s="2">
        <f t="shared" si="3"/>
        <v>16</v>
      </c>
    </row>
    <row r="19" spans="1:5" x14ac:dyDescent="0.35">
      <c r="A19" t="s">
        <v>6</v>
      </c>
      <c r="B19">
        <v>388</v>
      </c>
      <c r="C19">
        <v>3865</v>
      </c>
      <c r="D19" s="1">
        <f>C19/B19</f>
        <v>9.9613402061855663</v>
      </c>
      <c r="E19" s="2">
        <f t="shared" si="3"/>
        <v>18.476190476190474</v>
      </c>
    </row>
    <row r="20" spans="1:5" x14ac:dyDescent="0.35">
      <c r="A20" t="s">
        <v>7</v>
      </c>
      <c r="B20">
        <v>429</v>
      </c>
      <c r="C20">
        <v>4293</v>
      </c>
      <c r="D20" s="1">
        <f t="shared" ref="D20:D25" si="4">C20/B20</f>
        <v>10.006993006993007</v>
      </c>
      <c r="E20" s="2">
        <f t="shared" si="3"/>
        <v>20.428571428571427</v>
      </c>
    </row>
    <row r="21" spans="1:5" x14ac:dyDescent="0.35">
      <c r="A21" t="s">
        <v>8</v>
      </c>
      <c r="B21">
        <v>488</v>
      </c>
      <c r="C21">
        <v>4803</v>
      </c>
      <c r="D21" s="1">
        <f t="shared" si="4"/>
        <v>9.8422131147540988</v>
      </c>
      <c r="E21" s="2">
        <f t="shared" si="3"/>
        <v>23.238095238095237</v>
      </c>
    </row>
    <row r="22" spans="1:5" x14ac:dyDescent="0.35">
      <c r="A22" t="s">
        <v>9</v>
      </c>
      <c r="B22">
        <v>479</v>
      </c>
      <c r="C22">
        <v>5092</v>
      </c>
      <c r="D22" s="1">
        <f t="shared" si="4"/>
        <v>10.630480167014614</v>
      </c>
      <c r="E22" s="2">
        <f t="shared" si="3"/>
        <v>22.80952380952381</v>
      </c>
    </row>
    <row r="23" spans="1:5" x14ac:dyDescent="0.35">
      <c r="A23" t="s">
        <v>14</v>
      </c>
      <c r="B23">
        <v>503</v>
      </c>
      <c r="C23">
        <v>4966</v>
      </c>
      <c r="D23" s="1">
        <f t="shared" si="4"/>
        <v>9.8727634194831015</v>
      </c>
      <c r="E23" s="2">
        <f t="shared" si="3"/>
        <v>23.952380952380953</v>
      </c>
    </row>
    <row r="24" spans="1:5" x14ac:dyDescent="0.35">
      <c r="A24" t="s">
        <v>15</v>
      </c>
      <c r="B24">
        <v>551</v>
      </c>
      <c r="C24">
        <v>4080</v>
      </c>
      <c r="D24" s="1">
        <f>C24/B24</f>
        <v>7.404718693284936</v>
      </c>
      <c r="E24" s="2">
        <f t="shared" si="3"/>
        <v>26.238095238095237</v>
      </c>
    </row>
    <row r="26" spans="1:5" x14ac:dyDescent="0.35">
      <c r="A26" t="s">
        <v>11</v>
      </c>
      <c r="B26" s="2">
        <f>SUM(B16:B24)/9</f>
        <v>471.55555555555554</v>
      </c>
    </row>
    <row r="27" spans="1:5" x14ac:dyDescent="0.35">
      <c r="A27" t="s">
        <v>12</v>
      </c>
      <c r="B27" s="2">
        <f>B26/4</f>
        <v>117.88888888888889</v>
      </c>
    </row>
    <row r="28" spans="1:5" x14ac:dyDescent="0.35">
      <c r="A28" t="s">
        <v>13</v>
      </c>
      <c r="B28" s="2">
        <f>B27/5</f>
        <v>23.577777777777776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Beetham</dc:creator>
  <cp:lastModifiedBy>Jude Beetham</cp:lastModifiedBy>
  <dcterms:created xsi:type="dcterms:W3CDTF">2024-08-20T00:16:32Z</dcterms:created>
  <dcterms:modified xsi:type="dcterms:W3CDTF">2025-10-21T23:27:11Z</dcterms:modified>
</cp:coreProperties>
</file>